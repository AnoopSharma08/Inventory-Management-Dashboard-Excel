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395A070E-6B49-4CE0-921E-F3149E4E0826}" xr6:coauthVersionLast="47" xr6:coauthVersionMax="47" xr10:uidLastSave="{00000000-0000-0000-0000-000000000000}"/>
  <bookViews>
    <workbookView xWindow="-120" yWindow="-120" windowWidth="20730" windowHeight="11160" xr2:uid="{94848D6C-835E-4F24-ACA2-CA0E026E40F6}"/>
  </bookViews>
  <sheets>
    <sheet name="Dashboard" sheetId="4" r:id="rId1"/>
    <sheet name="Products" sheetId="2" r:id="rId2"/>
    <sheet name="calcutaions" sheetId="3" r:id="rId3"/>
    <sheet name="Transactions" sheetId="1" r:id="rId4"/>
  </sheets>
  <definedNames>
    <definedName name="_xlcn.WorksheetConnection_CreateanInventoryManagementDashboardinExcel.xlsxTable11" hidden="1">Table1[]</definedName>
    <definedName name="_xlcn.WorksheetConnection_CreateanInventoryManagementDashboardinExcel.xlsxTable31" hidden="1">Table3[]</definedName>
    <definedName name="Slicer_Product_Name">#N/A</definedName>
    <definedName name="Slicer_Store">#N/A</definedName>
  </definedNames>
  <calcPr calcId="191028"/>
  <pivotCaches>
    <pivotCache cacheId="0" r:id="rId5"/>
    <pivotCache cacheId="1" r:id="rId6"/>
    <pivotCache cacheId="2" r:id="rId7"/>
    <pivotCache cacheId="3" r:id="rId8"/>
    <pivotCache cacheId="4" r:id="rId9"/>
    <pivotCache cacheId="5" r:id="rId10"/>
  </pivotCaches>
  <extLst>
    <ext xmlns:x14="http://schemas.microsoft.com/office/spreadsheetml/2009/9/main" uri="{876F7934-8845-4945-9796-88D515C7AA90}">
      <x14:pivotCaches>
        <pivotCache cacheId="6" r:id="rId11"/>
        <pivotCache cacheId="7"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Create an Inventory Management Dashboard in Excel.xlsx!Table3"/>
          <x15:modelTable id="Table1" name="Table1" connection="WorksheetConnection_Create an Inventory Management Dashboard in Excel.xlsx!Table1"/>
          <x15:modelTable id="Calendar" name="Calendar" connection="Connection"/>
        </x15:modelTables>
        <x15:modelRelationships>
          <x15:modelRelationship fromTable="Table3" fromColumn="Product Id" toTable="Table1" toColumn="Product Id"/>
          <x15:modelRelationship fromTable="Table3"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3" i="4" l="1"/>
  <c r="L13" i="4"/>
  <c r="B8" i="3"/>
  <c r="B7" i="3" s="1"/>
  <c r="L23" i="4"/>
  <c r="L22" i="4"/>
  <c r="L21" i="4"/>
  <c r="L20" i="4"/>
  <c r="L19" i="4"/>
  <c r="L18" i="4"/>
  <c r="L17" i="4"/>
  <c r="L16" i="4"/>
  <c r="L15" i="4"/>
  <c r="L14" i="4"/>
  <c r="J23" i="4"/>
  <c r="J22" i="4"/>
  <c r="J21" i="4"/>
  <c r="J20" i="4"/>
  <c r="J19" i="4"/>
  <c r="J18" i="4"/>
  <c r="J17" i="4"/>
  <c r="J16" i="4"/>
  <c r="J15" i="4"/>
  <c r="J14" i="4"/>
  <c r="H23" i="4"/>
  <c r="H22" i="4"/>
  <c r="H21" i="4"/>
  <c r="H20" i="4"/>
  <c r="H19" i="4"/>
  <c r="H18" i="4"/>
  <c r="H17" i="4"/>
  <c r="H16" i="4"/>
  <c r="H15" i="4"/>
  <c r="H14" i="4"/>
  <c r="F23" i="4"/>
  <c r="F22" i="4"/>
  <c r="F21" i="4"/>
  <c r="F20" i="4"/>
  <c r="F19" i="4"/>
  <c r="F18" i="4"/>
  <c r="F17" i="4"/>
  <c r="F16" i="4"/>
  <c r="F15" i="4"/>
  <c r="F14" i="4"/>
  <c r="D23" i="4"/>
  <c r="D22" i="4"/>
  <c r="D21" i="4"/>
  <c r="D20" i="4"/>
  <c r="D19" i="4"/>
  <c r="D18" i="4"/>
  <c r="D17" i="4"/>
  <c r="D16" i="4"/>
  <c r="D15" i="4"/>
  <c r="D14" i="4"/>
  <c r="H13" i="4"/>
  <c r="F13" i="4"/>
  <c r="D13" i="4"/>
  <c r="P5" i="3"/>
  <c r="P6" i="3"/>
  <c r="P7" i="3"/>
  <c r="P8" i="3"/>
  <c r="P9" i="3"/>
  <c r="P10" i="3"/>
  <c r="P11" i="3"/>
  <c r="P12" i="3"/>
  <c r="P13" i="3"/>
  <c r="P14" i="3"/>
  <c r="P15" i="3"/>
  <c r="P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96C770-F284-4848-AC30-00F931AC1BDF}" name="Connection" type="104" refreshedVersion="0" background="1">
    <extLst>
      <ext xmlns:x15="http://schemas.microsoft.com/office/spreadsheetml/2010/11/main" uri="{DE250136-89BD-433C-8126-D09CA5730AF9}">
        <x15:connection id="Calendar"/>
      </ext>
    </extLst>
  </connection>
  <connection id="2" xr16:uid="{9B6756E4-62ED-4607-9556-24EB9304712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ABCACE9F-6752-488D-81ED-0C2EB9AC8F02}" name="WorksheetConnection_Create an Inventory Management Dashboard in Excel.xlsx!Table1" type="102" refreshedVersion="8" minRefreshableVersion="5">
    <extLst>
      <ext xmlns:x15="http://schemas.microsoft.com/office/spreadsheetml/2010/11/main" uri="{DE250136-89BD-433C-8126-D09CA5730AF9}">
        <x15:connection id="Table1">
          <x15:rangePr sourceName="_xlcn.WorksheetConnection_CreateanInventoryManagementDashboardinExcel.xlsxTable11"/>
        </x15:connection>
      </ext>
    </extLst>
  </connection>
  <connection id="4" xr16:uid="{819BDE8E-F93C-44B2-9D5C-9E47F2F5AC4C}" name="WorksheetConnection_Create an Inventory Management Dashboard in Excel.xlsx!Table3" type="102" refreshedVersion="8" minRefreshableVersion="5">
    <extLst>
      <ext xmlns:x15="http://schemas.microsoft.com/office/spreadsheetml/2010/11/main" uri="{DE250136-89BD-433C-8126-D09CA5730AF9}">
        <x15:connection id="Table3">
          <x15:rangePr sourceName="_xlcn.WorksheetConnection_CreateanInventoryManagementDashboardinExcel.xlsxTable3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Table3].[Transaction Type].&amp;[Receipt]}"/>
    <s v="{[Table3].[Transaction Type].&amp;[Dispatch]}"/>
    <s v="{[Table1].[Product Name].[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<sst xmlns="http://schemas.openxmlformats.org/spreadsheetml/2006/main" count="387" uniqueCount="97">
  <si>
    <t>Product Id</t>
  </si>
  <si>
    <t>Product Name</t>
  </si>
  <si>
    <t>Re-Order Level</t>
  </si>
  <si>
    <t>Re-Order Quantity</t>
  </si>
  <si>
    <t>P-001</t>
  </si>
  <si>
    <t>Product 1</t>
  </si>
  <si>
    <t>P-002</t>
  </si>
  <si>
    <t>Product 2</t>
  </si>
  <si>
    <t>P-003</t>
  </si>
  <si>
    <t>Product 3</t>
  </si>
  <si>
    <t>P-004</t>
  </si>
  <si>
    <t>Product 4</t>
  </si>
  <si>
    <t>P-005</t>
  </si>
  <si>
    <t>Product 5</t>
  </si>
  <si>
    <t>P-006</t>
  </si>
  <si>
    <t>Product 6</t>
  </si>
  <si>
    <t>P-007</t>
  </si>
  <si>
    <t>Product 7</t>
  </si>
  <si>
    <t>P-008</t>
  </si>
  <si>
    <t>Product 8</t>
  </si>
  <si>
    <t>P-009</t>
  </si>
  <si>
    <t>Product 9</t>
  </si>
  <si>
    <t>P-010</t>
  </si>
  <si>
    <t>Product 10</t>
  </si>
  <si>
    <t>P-011</t>
  </si>
  <si>
    <t>Product 11</t>
  </si>
  <si>
    <t>P-012</t>
  </si>
  <si>
    <t>Product 12</t>
  </si>
  <si>
    <t>P-013</t>
  </si>
  <si>
    <t>Product 13</t>
  </si>
  <si>
    <t>P-014</t>
  </si>
  <si>
    <t>Product 14</t>
  </si>
  <si>
    <t>P-015</t>
  </si>
  <si>
    <t>Product 15</t>
  </si>
  <si>
    <t>P-016</t>
  </si>
  <si>
    <t>Product 16</t>
  </si>
  <si>
    <t>P-017</t>
  </si>
  <si>
    <t>Product 17</t>
  </si>
  <si>
    <t>P-018</t>
  </si>
  <si>
    <t>Product 18</t>
  </si>
  <si>
    <t>P-019</t>
  </si>
  <si>
    <t>Product 19</t>
  </si>
  <si>
    <t>P-020</t>
  </si>
  <si>
    <t>Product 20</t>
  </si>
  <si>
    <t>Date</t>
  </si>
  <si>
    <t>Transaction Type</t>
  </si>
  <si>
    <t>Quantity</t>
  </si>
  <si>
    <t>Receipt</t>
  </si>
  <si>
    <t>Dispatch</t>
  </si>
  <si>
    <t>Sum of Quantity</t>
  </si>
  <si>
    <t>Row Labels</t>
  </si>
  <si>
    <t>January</t>
  </si>
  <si>
    <t>February</t>
  </si>
  <si>
    <t>March</t>
  </si>
  <si>
    <t>April</t>
  </si>
  <si>
    <t>May</t>
  </si>
  <si>
    <t>June</t>
  </si>
  <si>
    <t>July</t>
  </si>
  <si>
    <t>August</t>
  </si>
  <si>
    <t>September</t>
  </si>
  <si>
    <t>October</t>
  </si>
  <si>
    <t>November</t>
  </si>
  <si>
    <t>December</t>
  </si>
  <si>
    <t>Store</t>
  </si>
  <si>
    <t>Store 1</t>
  </si>
  <si>
    <t>Store 2</t>
  </si>
  <si>
    <t>Store 3</t>
  </si>
  <si>
    <t>Store 4</t>
  </si>
  <si>
    <t>Store 5</t>
  </si>
  <si>
    <t>Sum of Re-Order Level</t>
  </si>
  <si>
    <t>Receipts</t>
  </si>
  <si>
    <t>Availability</t>
  </si>
  <si>
    <t>Jan</t>
  </si>
  <si>
    <t>Feb</t>
  </si>
  <si>
    <t>Mar</t>
  </si>
  <si>
    <t>Apr</t>
  </si>
  <si>
    <t>Jun</t>
  </si>
  <si>
    <t>Jul</t>
  </si>
  <si>
    <t>Aug</t>
  </si>
  <si>
    <t>Sep</t>
  </si>
  <si>
    <t>Oct</t>
  </si>
  <si>
    <t>Nov</t>
  </si>
  <si>
    <t>Dec</t>
  </si>
  <si>
    <t>All</t>
  </si>
  <si>
    <t>Total Dispatched</t>
  </si>
  <si>
    <t>Quantity Available</t>
  </si>
  <si>
    <t>Trend</t>
  </si>
  <si>
    <t>Total Received</t>
  </si>
  <si>
    <t>Product  Selector</t>
  </si>
  <si>
    <t>Bottom 10 Stock Quantity</t>
  </si>
  <si>
    <t>Product ID</t>
  </si>
  <si>
    <t xml:space="preserve">Product  Name </t>
  </si>
  <si>
    <t>Location</t>
  </si>
  <si>
    <t>Qty Available</t>
  </si>
  <si>
    <t>Re-order Level</t>
  </si>
  <si>
    <t>Percentage of stock Available</t>
  </si>
  <si>
    <t>Store Selector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</si>
</sst>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2"/>
      <color theme="1"/>
      <name val="Aptos Narrow"/>
      <family val="2"/>
      <scheme val="minor"/>
    </font>
    <font>
      <sz val="12"/>
      <color theme="1"/>
      <name val="Aptos Narrow"/>
      <family val="2"/>
      <scheme val="minor"/>
    </font>
    <font>
      <sz val="14"/>
      <color theme="1"/>
      <name val="Aptos Narrow"/>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79998168889431442"/>
        <bgColor indexed="64"/>
      </patternFill>
    </fill>
  </fills>
  <borders count="6">
    <border>
      <left/>
      <right/>
      <top/>
      <bottom/>
      <diagonal/>
    </border>
    <border>
      <left style="thin">
        <color theme="0"/>
      </left>
      <right style="thin">
        <color theme="0"/>
      </right>
      <top style="thin">
        <color theme="0"/>
      </top>
      <bottom style="thin">
        <color theme="0"/>
      </bottom>
      <diagonal/>
    </border>
    <border>
      <left/>
      <right/>
      <top/>
      <bottom style="medium">
        <color theme="1"/>
      </bottom>
      <diagonal/>
    </border>
    <border>
      <left/>
      <right/>
      <top/>
      <bottom style="thin">
        <color indexed="64"/>
      </bottom>
      <diagonal/>
    </border>
    <border>
      <left style="thin">
        <color theme="0"/>
      </left>
      <right style="thin">
        <color theme="0"/>
      </right>
      <top/>
      <bottom style="thin">
        <color theme="0"/>
      </bottom>
      <diagonal/>
    </border>
    <border>
      <left/>
      <right/>
      <top/>
      <bottom style="medium">
        <color indexed="64"/>
      </bottom>
      <diagonal/>
    </border>
  </borders>
  <cellStyleXfs count="2">
    <xf numFmtId="0" fontId="0" fillId="0" borderId="0"/>
    <xf numFmtId="9" fontId="1" fillId="0" borderId="0" applyFont="0" applyFill="0" applyBorder="0" applyAlignment="0" applyProtection="0"/>
  </cellStyleXfs>
  <cellXfs count="38">
    <xf numFmtId="0" fontId="0" fillId="0" borderId="0" xfId="0"/>
    <xf numFmtId="15" fontId="0" fillId="0" borderId="0" xfId="0" applyNumberFormat="1"/>
    <xf numFmtId="0" fontId="0" fillId="0" borderId="0" xfId="0" applyNumberFormat="1"/>
    <xf numFmtId="0" fontId="0" fillId="0" borderId="0" xfId="0" pivotButton="1"/>
    <xf numFmtId="0" fontId="0" fillId="0" borderId="0" xfId="0" applyAlignment="1">
      <alignment horizontal="left"/>
    </xf>
    <xf numFmtId="9" fontId="0" fillId="0" borderId="0" xfId="1" applyFont="1"/>
    <xf numFmtId="9" fontId="0" fillId="0" borderId="0" xfId="0" applyNumberFormat="1"/>
    <xf numFmtId="0" fontId="0" fillId="2" borderId="0" xfId="0" applyFill="1"/>
    <xf numFmtId="0" fontId="0" fillId="2" borderId="0" xfId="0" applyFill="1" applyBorder="1"/>
    <xf numFmtId="164" fontId="0" fillId="0" borderId="0" xfId="0" applyNumberFormat="1"/>
    <xf numFmtId="165" fontId="0" fillId="3" borderId="1" xfId="0" applyNumberFormat="1" applyFont="1" applyFill="1" applyBorder="1" applyAlignment="1">
      <alignment horizontal="center"/>
    </xf>
    <xf numFmtId="165" fontId="0" fillId="2" borderId="0" xfId="0" applyNumberFormat="1" applyFill="1"/>
    <xf numFmtId="165" fontId="0" fillId="4" borderId="1" xfId="0" applyNumberFormat="1" applyFill="1" applyBorder="1" applyAlignment="1">
      <alignment horizontal="center"/>
    </xf>
    <xf numFmtId="165" fontId="0" fillId="5" borderId="1" xfId="0" applyNumberFormat="1" applyFill="1" applyBorder="1" applyAlignment="1">
      <alignment horizontal="center"/>
    </xf>
    <xf numFmtId="165" fontId="0" fillId="6" borderId="1" xfId="0" applyNumberFormat="1" applyFont="1" applyFill="1" applyBorder="1" applyAlignment="1">
      <alignment horizontal="center"/>
    </xf>
    <xf numFmtId="165" fontId="0" fillId="7" borderId="1" xfId="0" applyNumberFormat="1" applyFill="1" applyBorder="1" applyAlignment="1">
      <alignment horizontal="center"/>
    </xf>
    <xf numFmtId="0" fontId="0" fillId="2" borderId="0" xfId="0" applyFill="1" applyAlignment="1">
      <alignment vertical="center" readingOrder="2"/>
    </xf>
    <xf numFmtId="0" fontId="4" fillId="2" borderId="2" xfId="0" applyFont="1" applyFill="1" applyBorder="1" applyAlignment="1">
      <alignment horizontal="center" vertical="center"/>
    </xf>
    <xf numFmtId="0" fontId="4" fillId="2" borderId="2" xfId="0" applyFont="1" applyFill="1" applyBorder="1" applyAlignment="1">
      <alignment horizontal="left" vertical="center"/>
    </xf>
    <xf numFmtId="0" fontId="4" fillId="2" borderId="3" xfId="0" applyFont="1" applyFill="1" applyBorder="1" applyAlignment="1">
      <alignment horizontal="center"/>
    </xf>
    <xf numFmtId="0" fontId="0" fillId="2" borderId="3" xfId="0" applyFill="1" applyBorder="1"/>
    <xf numFmtId="0" fontId="0" fillId="2" borderId="0" xfId="0" applyFont="1" applyFill="1" applyBorder="1"/>
    <xf numFmtId="165" fontId="0" fillId="3" borderId="4" xfId="0" applyNumberFormat="1" applyFont="1" applyFill="1" applyBorder="1" applyAlignment="1">
      <alignment horizontal="center"/>
    </xf>
    <xf numFmtId="165" fontId="0" fillId="4" borderId="4" xfId="0" applyNumberFormat="1" applyFill="1" applyBorder="1" applyAlignment="1">
      <alignment horizontal="center"/>
    </xf>
    <xf numFmtId="165" fontId="0" fillId="5" borderId="4" xfId="0" applyNumberFormat="1" applyFill="1" applyBorder="1" applyAlignment="1">
      <alignment horizontal="center"/>
    </xf>
    <xf numFmtId="165" fontId="0" fillId="6" borderId="4" xfId="0" applyNumberFormat="1" applyFont="1" applyFill="1" applyBorder="1" applyAlignment="1">
      <alignment horizontal="center"/>
    </xf>
    <xf numFmtId="165" fontId="0" fillId="7" borderId="4" xfId="0" applyNumberFormat="1" applyFill="1" applyBorder="1" applyAlignment="1">
      <alignment horizontal="center"/>
    </xf>
    <xf numFmtId="0" fontId="2" fillId="2" borderId="2" xfId="0" applyFont="1" applyFill="1" applyBorder="1" applyAlignment="1">
      <alignment horizontal="center" readingOrder="2"/>
    </xf>
    <xf numFmtId="0" fontId="4" fillId="2" borderId="3" xfId="0" applyFont="1" applyFill="1" applyBorder="1" applyAlignment="1">
      <alignment horizontal="left"/>
    </xf>
    <xf numFmtId="0" fontId="4" fillId="2" borderId="3" xfId="0" applyFont="1" applyFill="1" applyBorder="1" applyAlignment="1">
      <alignment horizontal="right"/>
    </xf>
    <xf numFmtId="0" fontId="0" fillId="2" borderId="0" xfId="0" applyFill="1" applyAlignment="1">
      <alignment horizontal="left" vertical="center"/>
    </xf>
    <xf numFmtId="0" fontId="2" fillId="2" borderId="5" xfId="0" applyFont="1" applyFill="1" applyBorder="1"/>
    <xf numFmtId="0" fontId="4" fillId="2" borderId="5" xfId="0" applyFont="1" applyFill="1" applyBorder="1" applyAlignment="1">
      <alignment horizontal="center"/>
    </xf>
    <xf numFmtId="0" fontId="0" fillId="2" borderId="5" xfId="0" applyFont="1" applyFill="1" applyBorder="1"/>
    <xf numFmtId="0" fontId="0" fillId="2" borderId="5" xfId="0" applyFill="1" applyBorder="1"/>
    <xf numFmtId="0" fontId="6" fillId="2" borderId="3" xfId="0" applyFont="1" applyFill="1" applyBorder="1" applyAlignment="1">
      <alignment horizontal="right"/>
    </xf>
    <xf numFmtId="0" fontId="5" fillId="2" borderId="0" xfId="0" applyFont="1" applyFill="1" applyAlignment="1">
      <alignment horizontal="center" vertical="top"/>
    </xf>
    <xf numFmtId="0" fontId="4" fillId="2" borderId="5" xfId="0" applyFont="1" applyFill="1" applyBorder="1"/>
  </cellXfs>
  <cellStyles count="2">
    <cellStyle name="Normal" xfId="0" builtinId="0"/>
    <cellStyle name="Percent" xfId="1" builtinId="5"/>
  </cellStyles>
  <dxfs count="4">
    <dxf>
      <numFmt numFmtId="166" formatCode="dd\-mmm\-yy"/>
    </dxf>
    <dxf>
      <numFmt numFmtId="164" formatCode="#,##0;#,##0"/>
    </dxf>
    <dxf>
      <font>
        <b/>
        <color theme="1"/>
      </font>
      <border>
        <bottom style="thin">
          <color theme="0" tint="-0.499984740745262"/>
        </bottom>
        <vertical/>
        <horizontal/>
      </border>
    </dxf>
    <dxf>
      <font>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Invisible" pivot="0" table="0" count="0" xr9:uid="{69BFED99-2549-4C95-9866-AB0F24F5A4BA}"/>
    <tableStyle name="SlicerStyleLight1 2" pivot="0" table="0" count="10" xr9:uid="{ECBE001A-731A-4FCA-BC27-93506DFDAE57}">
      <tableStyleElement type="wholeTable" dxfId="3"/>
      <tableStyleElement type="headerRow" dxfId="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auto="1"/>
          </font>
          <fill>
            <patternFill patternType="solid">
              <fgColor theme="4" tint="0.79995117038483843"/>
              <bgColor theme="0"/>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0"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1.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6.xml"/><Relationship Id="rId19" Type="http://schemas.openxmlformats.org/officeDocument/2006/relationships/sheetMetadata" Target="metadata.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0.96921447927786797"/>
          <c:h val="0.76870288782137308"/>
        </c:manualLayout>
      </c:layout>
      <c:lineChart>
        <c:grouping val="standard"/>
        <c:varyColors val="0"/>
        <c:ser>
          <c:idx val="0"/>
          <c:order val="0"/>
          <c:spPr>
            <a:ln w="19050" cap="rnd">
              <a:solidFill>
                <a:schemeClr val="accent1"/>
              </a:solidFill>
              <a:round/>
            </a:ln>
            <a:effectLst>
              <a:outerShdw blurRad="50800" dist="38100" algn="l" rotWithShape="0">
                <a:prstClr val="black">
                  <a:alpha val="40000"/>
                </a:prstClr>
              </a:outerShdw>
            </a:effectLst>
          </c:spPr>
          <c:marker>
            <c:symbol val="circle"/>
            <c:size val="5"/>
            <c:spPr>
              <a:solidFill>
                <a:schemeClr val="accent1"/>
              </a:solidFill>
              <a:ln w="9525">
                <a:solidFill>
                  <a:schemeClr val="accent1"/>
                </a:solidFill>
              </a:ln>
              <a:effectLst>
                <a:outerShdw blurRad="50800" dist="38100" algn="l" rotWithShape="0">
                  <a:prstClr val="black">
                    <a:alpha val="40000"/>
                  </a:prstClr>
                </a:outerShdw>
              </a:effectLst>
            </c:spPr>
          </c:marker>
          <c:dPt>
            <c:idx val="8"/>
            <c:marker>
              <c:symbol val="circle"/>
              <c:size val="5"/>
              <c:spPr>
                <a:solidFill>
                  <a:schemeClr val="accent1"/>
                </a:solidFill>
                <a:ln w="6350">
                  <a:solidFill>
                    <a:schemeClr val="accent1"/>
                  </a:solidFill>
                </a:ln>
                <a:effectLst>
                  <a:outerShdw blurRad="50800" dist="38100" algn="l" rotWithShape="0">
                    <a:prstClr val="black">
                      <a:alpha val="40000"/>
                    </a:prstClr>
                  </a:outerShdw>
                </a:effectLst>
              </c:spPr>
            </c:marker>
            <c:bubble3D val="0"/>
            <c:extLst>
              <c:ext xmlns:c16="http://schemas.microsoft.com/office/drawing/2014/chart" uri="{C3380CC4-5D6E-409C-BE32-E72D297353CC}">
                <c16:uniqueId val="{00000000-A373-4C57-A48A-0018D0AE689B}"/>
              </c:ext>
            </c:extLst>
          </c:dPt>
          <c:cat>
            <c:strRef>
              <c:f>calcutaions!$O$4:$O$15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calcutaions!$P$4:$P$15</c:f>
              <c:numCache>
                <c:formatCode>General</c:formatCode>
                <c:ptCount val="12"/>
                <c:pt idx="0">
                  <c:v>1275</c:v>
                </c:pt>
                <c:pt idx="1">
                  <c:v>2575</c:v>
                </c:pt>
                <c:pt idx="2">
                  <c:v>2124</c:v>
                </c:pt>
                <c:pt idx="3">
                  <c:v>1801</c:v>
                </c:pt>
                <c:pt idx="4">
                  <c:v>1526</c:v>
                </c:pt>
                <c:pt idx="5">
                  <c:v>1797</c:v>
                </c:pt>
                <c:pt idx="6">
                  <c:v>1839</c:v>
                </c:pt>
                <c:pt idx="7">
                  <c:v>2141</c:v>
                </c:pt>
                <c:pt idx="8">
                  <c:v>2020</c:v>
                </c:pt>
                <c:pt idx="9">
                  <c:v>2019</c:v>
                </c:pt>
                <c:pt idx="10">
                  <c:v>2034</c:v>
                </c:pt>
                <c:pt idx="11">
                  <c:v>1713</c:v>
                </c:pt>
              </c:numCache>
            </c:numRef>
          </c:val>
          <c:smooth val="0"/>
          <c:extLst>
            <c:ext xmlns:c16="http://schemas.microsoft.com/office/drawing/2014/chart" uri="{C3380CC4-5D6E-409C-BE32-E72D297353CC}">
              <c16:uniqueId val="{00000001-A373-4C57-A48A-0018D0AE689B}"/>
            </c:ext>
          </c:extLst>
        </c:ser>
        <c:dLbls>
          <c:showLegendKey val="0"/>
          <c:showVal val="0"/>
          <c:showCatName val="0"/>
          <c:showSerName val="0"/>
          <c:showPercent val="0"/>
          <c:showBubbleSize val="0"/>
        </c:dLbls>
        <c:marker val="1"/>
        <c:smooth val="0"/>
        <c:axId val="1656138479"/>
        <c:axId val="1656136079"/>
      </c:lineChart>
      <c:catAx>
        <c:axId val="1656138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136079"/>
        <c:crosses val="autoZero"/>
        <c:auto val="1"/>
        <c:lblAlgn val="ctr"/>
        <c:lblOffset val="100"/>
        <c:noMultiLvlLbl val="0"/>
      </c:catAx>
      <c:valAx>
        <c:axId val="1656136079"/>
        <c:scaling>
          <c:orientation val="minMax"/>
        </c:scaling>
        <c:delete val="1"/>
        <c:axPos val="l"/>
        <c:numFmt formatCode="General" sourceLinked="1"/>
        <c:majorTickMark val="out"/>
        <c:minorTickMark val="none"/>
        <c:tickLblPos val="nextTo"/>
        <c:crossAx val="1656138479"/>
        <c:crosses val="autoZero"/>
        <c:crossBetween val="between"/>
      </c:valAx>
      <c:spPr>
        <a:noFill/>
        <a:ln>
          <a:noFill/>
        </a:ln>
        <a:effectLst>
          <a:innerShdw blurRad="63500" dist="50800" dir="16200000">
            <a:prstClr val="black">
              <a:alpha val="50000"/>
            </a:prstClr>
          </a:innerShdw>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012430892946887"/>
          <c:y val="5.553952052338345E-2"/>
          <c:w val="0.51932585022616851"/>
          <c:h val="0.84726631856069556"/>
        </c:manualLayout>
      </c:layout>
      <c:doughnutChart>
        <c:varyColors val="1"/>
        <c:ser>
          <c:idx val="0"/>
          <c:order val="0"/>
          <c:dPt>
            <c:idx val="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1-D156-457C-BD57-BE6CAC27E94E}"/>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D156-457C-BD57-BE6CAC27E94E}"/>
              </c:ext>
            </c:extLst>
          </c:dPt>
          <c:val>
            <c:numRef>
              <c:f>calcutaions!$B$7:$B$8</c:f>
              <c:numCache>
                <c:formatCode>0%</c:formatCode>
                <c:ptCount val="2"/>
                <c:pt idx="0">
                  <c:v>0.62268722466960358</c:v>
                </c:pt>
                <c:pt idx="1">
                  <c:v>0.37731277533039648</c:v>
                </c:pt>
              </c:numCache>
            </c:numRef>
          </c:val>
          <c:extLst>
            <c:ext xmlns:c16="http://schemas.microsoft.com/office/drawing/2014/chart" uri="{C3380CC4-5D6E-409C-BE32-E72D297353CC}">
              <c16:uniqueId val="{00000004-D156-457C-BD57-BE6CAC27E94E}"/>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20109</xdr:colOff>
      <xdr:row>3</xdr:row>
      <xdr:rowOff>1058</xdr:rowOff>
    </xdr:from>
    <xdr:to>
      <xdr:col>3</xdr:col>
      <xdr:colOff>1079500</xdr:colOff>
      <xdr:row>7</xdr:row>
      <xdr:rowOff>158749</xdr:rowOff>
    </xdr:to>
    <xdr:sp macro="" textlink="calcutaions!B4">
      <xdr:nvSpPr>
        <xdr:cNvPr id="2" name="Rectangle: Rounded Corners 1">
          <a:extLst>
            <a:ext uri="{FF2B5EF4-FFF2-40B4-BE49-F238E27FC236}">
              <a16:creationId xmlns:a16="http://schemas.microsoft.com/office/drawing/2014/main" id="{3BA9D34B-60FE-6715-5C33-545149DE0EE7}"/>
            </a:ext>
          </a:extLst>
        </xdr:cNvPr>
        <xdr:cNvSpPr/>
      </xdr:nvSpPr>
      <xdr:spPr>
        <a:xfrm>
          <a:off x="1565276" y="604308"/>
          <a:ext cx="1059391" cy="919691"/>
        </a:xfrm>
        <a:prstGeom prst="roundRect">
          <a:avLst/>
        </a:prstGeom>
        <a:solidFill>
          <a:schemeClr val="bg1"/>
        </a:solidFill>
        <a:ln>
          <a:noFill/>
        </a:ln>
        <a:effectLst>
          <a:outerShdw blurRad="50800" dist="50800" dir="5400000" algn="ctr" rotWithShape="0">
            <a:schemeClr val="bg1">
              <a:lumMod val="6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7471ED5-2632-4AAB-8222-C5EC10362638}" type="TxLink">
            <a:rPr lang="en-US" sz="2400" b="0" i="0" u="none" strike="noStrike">
              <a:solidFill>
                <a:srgbClr val="000000"/>
              </a:solidFill>
              <a:latin typeface="Bahnschrift SemiBold" panose="020B0502040204020203" pitchFamily="34" charset="0"/>
              <a:ea typeface="+mn-ea"/>
              <a:cs typeface="+mn-cs"/>
            </a:rPr>
            <a:pPr marL="0" indent="0" algn="ctr"/>
            <a:t>4540</a:t>
          </a:fld>
          <a:endParaRPr lang="en-US" sz="2400" b="0" i="0" u="none" strike="noStrike">
            <a:solidFill>
              <a:srgbClr val="000000"/>
            </a:solidFill>
            <a:latin typeface="Bahnschrift SemiBold" panose="020B0502040204020203" pitchFamily="34" charset="0"/>
            <a:ea typeface="+mn-ea"/>
            <a:cs typeface="+mn-cs"/>
          </a:endParaRPr>
        </a:p>
      </xdr:txBody>
    </xdr:sp>
    <xdr:clientData/>
  </xdr:twoCellAnchor>
  <xdr:twoCellAnchor>
    <xdr:from>
      <xdr:col>5</xdr:col>
      <xdr:colOff>58209</xdr:colOff>
      <xdr:row>2</xdr:row>
      <xdr:rowOff>158750</xdr:rowOff>
    </xdr:from>
    <xdr:to>
      <xdr:col>5</xdr:col>
      <xdr:colOff>1125009</xdr:colOff>
      <xdr:row>8</xdr:row>
      <xdr:rowOff>10583</xdr:rowOff>
    </xdr:to>
    <xdr:sp macro="" textlink="calcutaions!F4">
      <xdr:nvSpPr>
        <xdr:cNvPr id="3" name="Rectangle: Rounded Corners 2">
          <a:extLst>
            <a:ext uri="{FF2B5EF4-FFF2-40B4-BE49-F238E27FC236}">
              <a16:creationId xmlns:a16="http://schemas.microsoft.com/office/drawing/2014/main" id="{62F5692D-7799-5909-2432-7D9B1EC743A7}"/>
            </a:ext>
          </a:extLst>
        </xdr:cNvPr>
        <xdr:cNvSpPr/>
      </xdr:nvSpPr>
      <xdr:spPr>
        <a:xfrm>
          <a:off x="2968626" y="571500"/>
          <a:ext cx="1066800" cy="994833"/>
        </a:xfrm>
        <a:prstGeom prst="roundRect">
          <a:avLst/>
        </a:prstGeom>
        <a:solidFill>
          <a:schemeClr val="bg1"/>
        </a:solidFill>
        <a:ln>
          <a:noFill/>
        </a:ln>
        <a:effectLst>
          <a:outerShdw blurRad="50800" dist="50800" dir="5400000" algn="ctr" rotWithShape="0">
            <a:schemeClr val="bg1">
              <a:lumMod val="6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8C95682-A87C-4439-94A0-EF9ED13AF5D5}" type="TxLink">
            <a:rPr lang="en-US" sz="2400" b="0" i="0" u="none" strike="noStrike">
              <a:solidFill>
                <a:srgbClr val="000000"/>
              </a:solidFill>
              <a:latin typeface="Bahnschrift SemiBold" panose="020B0502040204020203" pitchFamily="34" charset="0"/>
              <a:ea typeface="+mn-ea"/>
              <a:cs typeface="+mn-cs"/>
            </a:rPr>
            <a:pPr marL="0" indent="0" algn="ctr"/>
            <a:t>2,827</a:t>
          </a:fld>
          <a:endParaRPr lang="en-US" sz="2400" b="0" i="0" u="none" strike="noStrike">
            <a:solidFill>
              <a:srgbClr val="000000"/>
            </a:solidFill>
            <a:latin typeface="Bahnschrift SemiBold" panose="020B0502040204020203" pitchFamily="34" charset="0"/>
            <a:ea typeface="+mn-ea"/>
            <a:cs typeface="+mn-cs"/>
          </a:endParaRPr>
        </a:p>
      </xdr:txBody>
    </xdr:sp>
    <xdr:clientData/>
  </xdr:twoCellAnchor>
  <xdr:twoCellAnchor>
    <xdr:from>
      <xdr:col>7</xdr:col>
      <xdr:colOff>50801</xdr:colOff>
      <xdr:row>2</xdr:row>
      <xdr:rowOff>139702</xdr:rowOff>
    </xdr:from>
    <xdr:to>
      <xdr:col>7</xdr:col>
      <xdr:colOff>1174751</xdr:colOff>
      <xdr:row>8</xdr:row>
      <xdr:rowOff>21167</xdr:rowOff>
    </xdr:to>
    <xdr:sp macro="" textlink="calcutaions!J4">
      <xdr:nvSpPr>
        <xdr:cNvPr id="4" name="Rectangle: Rounded Corners 3">
          <a:extLst>
            <a:ext uri="{FF2B5EF4-FFF2-40B4-BE49-F238E27FC236}">
              <a16:creationId xmlns:a16="http://schemas.microsoft.com/office/drawing/2014/main" id="{70694ED5-4A32-5600-5C5E-36BE46EA4442}"/>
            </a:ext>
          </a:extLst>
        </xdr:cNvPr>
        <xdr:cNvSpPr/>
      </xdr:nvSpPr>
      <xdr:spPr>
        <a:xfrm>
          <a:off x="4326468" y="552452"/>
          <a:ext cx="1123950" cy="1024465"/>
        </a:xfrm>
        <a:prstGeom prst="roundRect">
          <a:avLst/>
        </a:prstGeom>
        <a:solidFill>
          <a:schemeClr val="bg1"/>
        </a:solidFill>
        <a:ln>
          <a:noFill/>
        </a:ln>
        <a:effectLst>
          <a:outerShdw blurRad="50800" dist="50800" dir="5400000" algn="ctr" rotWithShape="0">
            <a:schemeClr val="bg1">
              <a:lumMod val="6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EFD6A64-BEB3-4891-B005-7D458C5B7EC2}" type="TxLink">
            <a:rPr lang="en-US" sz="2400" b="0" i="0" u="none" strike="noStrike">
              <a:solidFill>
                <a:srgbClr val="000000"/>
              </a:solidFill>
              <a:latin typeface="Bahnschrift SemiBold" panose="020B0502040204020203" pitchFamily="34" charset="0"/>
              <a:ea typeface="+mn-ea"/>
              <a:cs typeface="+mn-cs"/>
            </a:rPr>
            <a:pPr marL="0" indent="0" algn="ctr"/>
            <a:t>1713</a:t>
          </a:fld>
          <a:endParaRPr lang="en-US" sz="2400" b="0" i="0" u="none" strike="noStrike">
            <a:solidFill>
              <a:srgbClr val="000000"/>
            </a:solidFill>
            <a:latin typeface="Bahnschrift SemiBold" panose="020B0502040204020203" pitchFamily="34" charset="0"/>
            <a:ea typeface="+mn-ea"/>
            <a:cs typeface="+mn-cs"/>
          </a:endParaRPr>
        </a:p>
      </xdr:txBody>
    </xdr:sp>
    <xdr:clientData/>
  </xdr:twoCellAnchor>
  <xdr:twoCellAnchor>
    <xdr:from>
      <xdr:col>13</xdr:col>
      <xdr:colOff>264583</xdr:colOff>
      <xdr:row>12</xdr:row>
      <xdr:rowOff>137585</xdr:rowOff>
    </xdr:from>
    <xdr:to>
      <xdr:col>18</xdr:col>
      <xdr:colOff>52916</xdr:colOff>
      <xdr:row>23</xdr:row>
      <xdr:rowOff>63501</xdr:rowOff>
    </xdr:to>
    <xdr:sp macro="" textlink="">
      <xdr:nvSpPr>
        <xdr:cNvPr id="6" name="Rectangle: Rounded Corners 5">
          <a:extLst>
            <a:ext uri="{FF2B5EF4-FFF2-40B4-BE49-F238E27FC236}">
              <a16:creationId xmlns:a16="http://schemas.microsoft.com/office/drawing/2014/main" id="{FA414F08-E94A-36FC-4EEC-F490964094D2}"/>
            </a:ext>
          </a:extLst>
        </xdr:cNvPr>
        <xdr:cNvSpPr/>
      </xdr:nvSpPr>
      <xdr:spPr>
        <a:xfrm>
          <a:off x="8636000" y="2529418"/>
          <a:ext cx="3725333" cy="2021416"/>
        </a:xfrm>
        <a:prstGeom prst="roundRect">
          <a:avLst/>
        </a:prstGeom>
        <a:solidFill>
          <a:sysClr val="window" lastClr="FFFFFF"/>
        </a:solidFill>
        <a:ln>
          <a:noFill/>
        </a:ln>
        <a:effectLst>
          <a:outerShdw blurRad="50800" dist="50800" dir="5400000" algn="ctr" rotWithShape="0">
            <a:schemeClr val="bg1">
              <a:lumMod val="6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126999</xdr:colOff>
      <xdr:row>2</xdr:row>
      <xdr:rowOff>116415</xdr:rowOff>
    </xdr:from>
    <xdr:to>
      <xdr:col>14</xdr:col>
      <xdr:colOff>52915</xdr:colOff>
      <xdr:row>8</xdr:row>
      <xdr:rowOff>10583</xdr:rowOff>
    </xdr:to>
    <xdr:sp macro="" textlink="calcutaions!J4">
      <xdr:nvSpPr>
        <xdr:cNvPr id="13" name="Rectangle: Rounded Corners 12">
          <a:extLst>
            <a:ext uri="{FF2B5EF4-FFF2-40B4-BE49-F238E27FC236}">
              <a16:creationId xmlns:a16="http://schemas.microsoft.com/office/drawing/2014/main" id="{A9A3DF4A-B75F-4665-7BDD-431234CE748D}"/>
            </a:ext>
          </a:extLst>
        </xdr:cNvPr>
        <xdr:cNvSpPr/>
      </xdr:nvSpPr>
      <xdr:spPr>
        <a:xfrm>
          <a:off x="5767916" y="529165"/>
          <a:ext cx="3841749" cy="1037168"/>
        </a:xfrm>
        <a:prstGeom prst="roundRect">
          <a:avLst/>
        </a:prstGeom>
        <a:solidFill>
          <a:schemeClr val="bg1"/>
        </a:solidFill>
        <a:ln>
          <a:noFill/>
        </a:ln>
        <a:effectLst>
          <a:outerShdw blurRad="50800" dist="50800" dir="5400000" algn="ctr" rotWithShape="0">
            <a:schemeClr val="bg1">
              <a:lumMod val="6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400" b="0" i="0" u="none" strike="noStrike">
            <a:solidFill>
              <a:srgbClr val="000000"/>
            </a:solidFill>
            <a:latin typeface="Bahnschrift SemiBold" panose="020B0502040204020203" pitchFamily="34" charset="0"/>
            <a:ea typeface="+mn-ea"/>
            <a:cs typeface="+mn-cs"/>
          </a:endParaRPr>
        </a:p>
      </xdr:txBody>
    </xdr:sp>
    <xdr:clientData/>
  </xdr:twoCellAnchor>
  <xdr:twoCellAnchor>
    <xdr:from>
      <xdr:col>9</xdr:col>
      <xdr:colOff>275166</xdr:colOff>
      <xdr:row>2</xdr:row>
      <xdr:rowOff>158751</xdr:rowOff>
    </xdr:from>
    <xdr:to>
      <xdr:col>13</xdr:col>
      <xdr:colOff>1153584</xdr:colOff>
      <xdr:row>7</xdr:row>
      <xdr:rowOff>63501</xdr:rowOff>
    </xdr:to>
    <xdr:graphicFrame macro="">
      <xdr:nvGraphicFramePr>
        <xdr:cNvPr id="14" name="Chart 13">
          <a:extLst>
            <a:ext uri="{FF2B5EF4-FFF2-40B4-BE49-F238E27FC236}">
              <a16:creationId xmlns:a16="http://schemas.microsoft.com/office/drawing/2014/main" id="{2A37BBF8-69D4-46BF-943C-DCBD596F0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91440</xdr:colOff>
      <xdr:row>2</xdr:row>
      <xdr:rowOff>63500</xdr:rowOff>
    </xdr:from>
    <xdr:to>
      <xdr:col>1</xdr:col>
      <xdr:colOff>1089659</xdr:colOff>
      <xdr:row>25</xdr:row>
      <xdr:rowOff>49320</xdr:rowOff>
    </xdr:to>
    <mc:AlternateContent xmlns:mc="http://schemas.openxmlformats.org/markup-compatibility/2006" xmlns:a14="http://schemas.microsoft.com/office/drawing/2010/main">
      <mc:Choice Requires="a14">
        <xdr:graphicFrame macro="">
          <xdr:nvGraphicFramePr>
            <xdr:cNvPr id="16" name="Store">
              <a:extLst>
                <a:ext uri="{FF2B5EF4-FFF2-40B4-BE49-F238E27FC236}">
                  <a16:creationId xmlns:a16="http://schemas.microsoft.com/office/drawing/2014/main" id="{2BCFFB27-6135-91CE-A647-2C73D06C06B3}"/>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91440" y="476250"/>
              <a:ext cx="1178136" cy="44414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423333</xdr:colOff>
      <xdr:row>13</xdr:row>
      <xdr:rowOff>42334</xdr:rowOff>
    </xdr:from>
    <xdr:to>
      <xdr:col>17</xdr:col>
      <xdr:colOff>84667</xdr:colOff>
      <xdr:row>22</xdr:row>
      <xdr:rowOff>157162</xdr:rowOff>
    </xdr:to>
    <xdr:graphicFrame macro="">
      <xdr:nvGraphicFramePr>
        <xdr:cNvPr id="19" name="Chart 18">
          <a:extLst>
            <a:ext uri="{FF2B5EF4-FFF2-40B4-BE49-F238E27FC236}">
              <a16:creationId xmlns:a16="http://schemas.microsoft.com/office/drawing/2014/main" id="{DCED469C-416B-4FB7-8F8E-C0044B07A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0.41844</cdr:x>
      <cdr:y>0.37026</cdr:y>
    </cdr:from>
    <cdr:to>
      <cdr:x>0.58156</cdr:x>
      <cdr:y>0.60168</cdr:y>
    </cdr:to>
    <cdr:sp macro="" textlink="">
      <cdr:nvSpPr>
        <cdr:cNvPr id="2" name="TextBox 1">
          <a:extLst xmlns:a="http://schemas.openxmlformats.org/drawingml/2006/main">
            <a:ext uri="{FF2B5EF4-FFF2-40B4-BE49-F238E27FC236}">
              <a16:creationId xmlns:a16="http://schemas.microsoft.com/office/drawing/2014/main" id="{EE46A488-CC6B-36AC-A8DB-435B05FC1F83}"/>
            </a:ext>
          </a:extLst>
        </cdr:cNvPr>
        <cdr:cNvSpPr txBox="1"/>
      </cdr:nvSpPr>
      <cdr:spPr>
        <a:xfrm xmlns:a="http://schemas.openxmlformats.org/drawingml/2006/main">
          <a:off x="1248833" y="677333"/>
          <a:ext cx="486834" cy="4233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0.42553</cdr:x>
      <cdr:y>0.3934</cdr:y>
    </cdr:from>
    <cdr:to>
      <cdr:x>0.64184</cdr:x>
      <cdr:y>0.60168</cdr:y>
    </cdr:to>
    <cdr:sp macro="" textlink="calcutaions!$B$8">
      <cdr:nvSpPr>
        <cdr:cNvPr id="3" name="TextBox 2">
          <a:extLst xmlns:a="http://schemas.openxmlformats.org/drawingml/2006/main">
            <a:ext uri="{FF2B5EF4-FFF2-40B4-BE49-F238E27FC236}">
              <a16:creationId xmlns:a16="http://schemas.microsoft.com/office/drawing/2014/main" id="{F3156065-3588-92CB-2C2B-79FEDB6DC93E}"/>
            </a:ext>
          </a:extLst>
        </cdr:cNvPr>
        <cdr:cNvSpPr txBox="1"/>
      </cdr:nvSpPr>
      <cdr:spPr>
        <a:xfrm xmlns:a="http://schemas.openxmlformats.org/drawingml/2006/main">
          <a:off x="1269999" y="719658"/>
          <a:ext cx="645583" cy="3810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84141EE5-006D-4DBB-928C-112CB7CB5534}" type="TxLink">
            <a:rPr lang="en-US" sz="1800" b="1" i="0" u="none" strike="noStrike">
              <a:solidFill>
                <a:srgbClr val="000000"/>
              </a:solidFill>
              <a:latin typeface="Aptos Narrow"/>
            </a:rPr>
            <a:pPr algn="ctr"/>
            <a:t>38%</a:t>
          </a:fld>
          <a:endParaRPr lang="en-US" sz="1800" b="1"/>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25</xdr:col>
      <xdr:colOff>495300</xdr:colOff>
      <xdr:row>6</xdr:row>
      <xdr:rowOff>76200</xdr:rowOff>
    </xdr:from>
    <xdr:to>
      <xdr:col>28</xdr:col>
      <xdr:colOff>495300</xdr:colOff>
      <xdr:row>20</xdr:row>
      <xdr:rowOff>76200</xdr:rowOff>
    </xdr:to>
    <mc:AlternateContent xmlns:mc="http://schemas.openxmlformats.org/markup-compatibility/2006" xmlns:a14="http://schemas.microsoft.com/office/drawing/2010/main">
      <mc:Choice Requires="a14">
        <xdr:graphicFrame macro="">
          <xdr:nvGraphicFramePr>
            <xdr:cNvPr id="4" name="Product Name">
              <a:extLst>
                <a:ext uri="{FF2B5EF4-FFF2-40B4-BE49-F238E27FC236}">
                  <a16:creationId xmlns:a16="http://schemas.microsoft.com/office/drawing/2014/main" id="{147F9B46-63C4-BA2C-C35F-CFF56E2EBD67}"/>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9907250" y="12192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1.70575173611" createdVersion="5" refreshedVersion="8" minRefreshableVersion="3" recordCount="0" supportSubquery="1" supportAdvancedDrill="1" xr:uid="{AAC2848E-78E6-41FE-8AC1-04DF890E592A}">
  <cacheSource type="external" connectionId="2"/>
  <cacheFields count="3">
    <cacheField name="[Table3].[Transaction Type].[Transaction Type]" caption="Transaction Type" numFmtId="0" hierarchy="15" level="1">
      <sharedItems containsSemiMixedTypes="0" containsNonDate="0" containsString="0"/>
    </cacheField>
    <cacheField name="[Measures].[Sum of Quantity]" caption="Sum of Quantity" numFmtId="0" hierarchy="21" level="32767"/>
    <cacheField name="[Table1].[Product Name].[Product Name]" caption="Product Name" numFmtId="0" hierarchy="9" level="1">
      <sharedItems containsSemiMixedTypes="0" containsNonDate="0" containsString="0"/>
    </cacheField>
  </cacheFields>
  <cacheHierarchies count="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2"/>
      </fieldsUsage>
    </cacheHierarchy>
    <cacheHierarchy uniqueName="[Table1].[Store]" caption="Store" attribute="1" defaultMemberUniqueName="[Table1].[Store].[All]" allUniqueName="[Table1].[Store].[All]" dimensionUniqueName="[Table1]" displayFolder="" count="2" memberValueDatatype="13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Quantity]" caption="Re-Order Quantity" attribute="1" defaultMemberUniqueName="[Table1].[Re-Order Quantity].[All]" allUniqueName="[Table1].[Re-Order Quantity].[All]" dimensionUniqueName="[Table1]" displayFolder="" count="0" memberValueDatatype="20" unbalanced="0"/>
    <cacheHierarchy uniqueName="[Table3].[Date]" caption="Date" attribute="1" time="1" defaultMemberUniqueName="[Table3].[Date].[All]" allUniqueName="[Table3].[Date].[All]" dimensionUniqueName="[Table3]" displayFolder="" count="0" memberValueDatatype="7" unbalanced="0"/>
    <cacheHierarchy uniqueName="[Table3].[Product Id]" caption="Product Id" attribute="1" defaultMemberUniqueName="[Table3].[Product Id].[All]" allUniqueName="[Table3].[Product Id].[All]" dimensionUniqueName="[Table3]" displayFolder="" count="0" memberValueDatatype="130" unbalanced="0"/>
    <cacheHierarchy uniqueName="[Table3].[Transaction Type]" caption="Transaction Type" attribute="1" defaultMemberUniqueName="[Table3].[Transaction Type].[All]" allUniqueName="[Table3].[Transaction Type].[All]" dimensionUniqueName="[Table3]" displayFolder="" count="2" memberValueDatatype="130" unbalanced="0">
      <fieldsUsage count="2">
        <fieldUsage x="-1"/>
        <fieldUsage x="0"/>
      </fieldsUsage>
    </cacheHierarchy>
    <cacheHierarchy uniqueName="[Table3].[Quantity]" caption="Quantity" attribute="1" defaultMemberUniqueName="[Table3].[Quantity].[All]" allUniqueName="[Table3].[Quantity].[All]" dimensionUniqueName="[Table3]" displayFolder="" count="0" memberValueDatatype="2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able3"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Re-Order Level]" caption="Sum of Re-Order Level" measure="1" displayFolder="" measureGroup="Table1" count="0" hidden="1">
      <extLst>
        <ext xmlns:x15="http://schemas.microsoft.com/office/spreadsheetml/2010/11/main" uri="{B97F6D7D-B522-45F9-BDA1-12C45D357490}">
          <x15:cacheHierarchy aggregatedColumn="11"/>
        </ext>
      </extLst>
    </cacheHierarchy>
  </cacheHierarchies>
  <kpis count="0"/>
  <dimensions count="4">
    <dimension name="Calendar" uniqueName="[Calendar]" caption="Calendar"/>
    <dimension measure="1" name="Measures" uniqueName="[Measures]" caption="Measures"/>
    <dimension name="Table1" uniqueName="[Table1]" caption="Table1"/>
    <dimension name="Table3" uniqueName="[Table3]" caption="Table3"/>
  </dimensions>
  <measureGroups count="3">
    <measureGroup name="Calendar" caption="Calendar"/>
    <measureGroup name="Table1" caption="Table1"/>
    <measureGroup name="Table3" caption="Table3"/>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1.705751851849" createdVersion="5" refreshedVersion="8" minRefreshableVersion="3" recordCount="0" supportSubquery="1" supportAdvancedDrill="1" xr:uid="{5F03CC04-40ED-4643-B8C6-772766532860}">
  <cacheSource type="external" connectionId="2"/>
  <cacheFields count="3">
    <cacheField name="[Table3].[Transaction Type].[Transaction Type]" caption="Transaction Type" numFmtId="0" hierarchy="15" level="1">
      <sharedItems containsSemiMixedTypes="0" containsNonDate="0" containsString="0"/>
    </cacheField>
    <cacheField name="[Measures].[Sum of Quantity]" caption="Sum of Quantity" numFmtId="0" hierarchy="21" level="32767"/>
    <cacheField name="[Table1].[Product Name].[Product Name]" caption="Product Name" numFmtId="0" hierarchy="9" level="1">
      <sharedItems containsSemiMixedTypes="0" containsNonDate="0" containsString="0"/>
    </cacheField>
  </cacheFields>
  <cacheHierarchies count="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2"/>
      </fieldsUsage>
    </cacheHierarchy>
    <cacheHierarchy uniqueName="[Table1].[Store]" caption="Store" attribute="1" defaultMemberUniqueName="[Table1].[Store].[All]" allUniqueName="[Table1].[Store].[All]" dimensionUniqueName="[Table1]" displayFolder="" count="2" memberValueDatatype="13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Quantity]" caption="Re-Order Quantity" attribute="1" defaultMemberUniqueName="[Table1].[Re-Order Quantity].[All]" allUniqueName="[Table1].[Re-Order Quantity].[All]" dimensionUniqueName="[Table1]" displayFolder="" count="0" memberValueDatatype="20" unbalanced="0"/>
    <cacheHierarchy uniqueName="[Table3].[Date]" caption="Date" attribute="1" time="1" defaultMemberUniqueName="[Table3].[Date].[All]" allUniqueName="[Table3].[Date].[All]" dimensionUniqueName="[Table3]" displayFolder="" count="0" memberValueDatatype="7" unbalanced="0"/>
    <cacheHierarchy uniqueName="[Table3].[Product Id]" caption="Product Id" attribute="1" defaultMemberUniqueName="[Table3].[Product Id].[All]" allUniqueName="[Table3].[Product Id].[All]" dimensionUniqueName="[Table3]" displayFolder="" count="0" memberValueDatatype="130" unbalanced="0"/>
    <cacheHierarchy uniqueName="[Table3].[Transaction Type]" caption="Transaction Type" attribute="1" defaultMemberUniqueName="[Table3].[Transaction Type].[All]" allUniqueName="[Table3].[Transaction Type].[All]" dimensionUniqueName="[Table3]" displayFolder="" count="2" memberValueDatatype="130" unbalanced="0">
      <fieldsUsage count="2">
        <fieldUsage x="-1"/>
        <fieldUsage x="0"/>
      </fieldsUsage>
    </cacheHierarchy>
    <cacheHierarchy uniqueName="[Table3].[Quantity]" caption="Quantity" attribute="1" defaultMemberUniqueName="[Table3].[Quantity].[All]" allUniqueName="[Table3].[Quantity].[All]" dimensionUniqueName="[Table3]" displayFolder="" count="0" memberValueDatatype="2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able3"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Re-Order Level]" caption="Sum of Re-Order Level" measure="1" displayFolder="" measureGroup="Table1" count="0" hidden="1">
      <extLst>
        <ext xmlns:x15="http://schemas.microsoft.com/office/spreadsheetml/2010/11/main" uri="{B97F6D7D-B522-45F9-BDA1-12C45D357490}">
          <x15:cacheHierarchy aggregatedColumn="11"/>
        </ext>
      </extLst>
    </cacheHierarchy>
  </cacheHierarchies>
  <kpis count="0"/>
  <dimensions count="4">
    <dimension name="Calendar" uniqueName="[Calendar]" caption="Calendar"/>
    <dimension measure="1" name="Measures" uniqueName="[Measures]" caption="Measures"/>
    <dimension name="Table1" uniqueName="[Table1]" caption="Table1"/>
    <dimension name="Table3" uniqueName="[Table3]" caption="Table3"/>
  </dimensions>
  <measureGroups count="3">
    <measureGroup name="Calendar" caption="Calendar"/>
    <measureGroup name="Table1" caption="Table1"/>
    <measureGroup name="Table3" caption="Table3"/>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1.705752314818" createdVersion="5" refreshedVersion="8" minRefreshableVersion="3" recordCount="0" supportSubquery="1" supportAdvancedDrill="1" xr:uid="{C0F3ADDF-B655-49FC-94A1-744D474F46E1}">
  <cacheSource type="external" connectionId="2"/>
  <cacheFields count="3">
    <cacheField name="[Table3].[Transaction Type].[Transaction Type]" caption="Transaction Type" numFmtId="0" hierarchy="15" level="1">
      <sharedItems containsSemiMixedTypes="0" containsNonDate="0" containsString="0"/>
    </cacheField>
    <cacheField name="[Measures].[Sum of Quantity]" caption="Sum of Quantity" numFmtId="0" hierarchy="21" level="32767"/>
    <cacheField name="[Table1].[Product Name].[Product Name]" caption="Product Name" numFmtId="0" hierarchy="9" level="1">
      <sharedItems containsSemiMixedTypes="0" containsNonDate="0" containsString="0"/>
    </cacheField>
  </cacheFields>
  <cacheHierarchies count="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2"/>
      </fieldsUsage>
    </cacheHierarchy>
    <cacheHierarchy uniqueName="[Table1].[Store]" caption="Store" attribute="1" defaultMemberUniqueName="[Table1].[Store].[All]" allUniqueName="[Table1].[Store].[All]" dimensionUniqueName="[Table1]" displayFolder="" count="2" memberValueDatatype="13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Quantity]" caption="Re-Order Quantity" attribute="1" defaultMemberUniqueName="[Table1].[Re-Order Quantity].[All]" allUniqueName="[Table1].[Re-Order Quantity].[All]" dimensionUniqueName="[Table1]" displayFolder="" count="0" memberValueDatatype="20" unbalanced="0"/>
    <cacheHierarchy uniqueName="[Table3].[Date]" caption="Date" attribute="1" time="1" defaultMemberUniqueName="[Table3].[Date].[All]" allUniqueName="[Table3].[Date].[All]" dimensionUniqueName="[Table3]" displayFolder="" count="0" memberValueDatatype="7" unbalanced="0"/>
    <cacheHierarchy uniqueName="[Table3].[Product Id]" caption="Product Id" attribute="1" defaultMemberUniqueName="[Table3].[Product Id].[All]" allUniqueName="[Table3].[Product Id].[All]" dimensionUniqueName="[Table3]" displayFolder="" count="0" memberValueDatatype="130" unbalanced="0"/>
    <cacheHierarchy uniqueName="[Table3].[Transaction Type]" caption="Transaction Type" attribute="1" defaultMemberUniqueName="[Table3].[Transaction Type].[All]" allUniqueName="[Table3].[Transaction Type].[All]" dimensionUniqueName="[Table3]" displayFolder="" count="2" memberValueDatatype="130" unbalanced="0">
      <fieldsUsage count="2">
        <fieldUsage x="-1"/>
        <fieldUsage x="0"/>
      </fieldsUsage>
    </cacheHierarchy>
    <cacheHierarchy uniqueName="[Table3].[Quantity]" caption="Quantity" attribute="1" defaultMemberUniqueName="[Table3].[Quantity].[All]" allUniqueName="[Table3].[Quantity].[All]" dimensionUniqueName="[Table3]" displayFolder="" count="0" memberValueDatatype="2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able3"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Re-Order Level]" caption="Sum of Re-Order Level" measure="1" displayFolder="" measureGroup="Table1" count="0" hidden="1">
      <extLst>
        <ext xmlns:x15="http://schemas.microsoft.com/office/spreadsheetml/2010/11/main" uri="{B97F6D7D-B522-45F9-BDA1-12C45D357490}">
          <x15:cacheHierarchy aggregatedColumn="11"/>
        </ext>
      </extLst>
    </cacheHierarchy>
  </cacheHierarchies>
  <kpis count="0"/>
  <dimensions count="4">
    <dimension name="Calendar" uniqueName="[Calendar]" caption="Calendar"/>
    <dimension measure="1" name="Measures" uniqueName="[Measures]" caption="Measures"/>
    <dimension name="Table1" uniqueName="[Table1]" caption="Table1"/>
    <dimension name="Table3" uniqueName="[Table3]" caption="Table3"/>
  </dimensions>
  <measureGroups count="3">
    <measureGroup name="Calendar" caption="Calendar"/>
    <measureGroup name="Table1" caption="Table1"/>
    <measureGroup name="Table3" caption="Table3"/>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1.70575277778" createdVersion="5" refreshedVersion="8" minRefreshableVersion="3" recordCount="0" supportSubquery="1" supportAdvancedDrill="1" xr:uid="{1545B6AE-510A-4757-A2A5-869956E325D0}">
  <cacheSource type="external" connectionId="2"/>
  <cacheFields count="4">
    <cacheField name="[Table3].[Transaction Type].[Transaction Type]" caption="Transaction Type" numFmtId="0" hierarchy="15" level="1">
      <sharedItems containsSemiMixedTypes="0" containsNonDate="0" containsString="0"/>
    </cacheField>
    <cacheField name="[Measures].[Sum of Quantity]" caption="Sum of Quantity" numFmtId="0" hierarchy="21" level="32767"/>
    <cacheField name="[Calendar].[Month].[Month]" caption="Month" numFmtId="0" hierarchy="4" level="1">
      <sharedItems count="12">
        <s v="January"/>
        <s v="February"/>
        <s v="March"/>
        <s v="April"/>
        <s v="May"/>
        <s v="June"/>
        <s v="July"/>
        <s v="August"/>
        <s v="September"/>
        <s v="October"/>
        <s v="November"/>
        <s v="December"/>
      </sharedItems>
    </cacheField>
    <cacheField name="[Table1].[Product Name].[Product Name]" caption="Product Name" numFmtId="0" hierarchy="9" level="1">
      <sharedItems containsSemiMixedTypes="0" containsNonDate="0" containsString="0"/>
    </cacheField>
  </cacheFields>
  <cacheHierarchies count="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3"/>
      </fieldsUsage>
    </cacheHierarchy>
    <cacheHierarchy uniqueName="[Table1].[Store]" caption="Store" attribute="1" defaultMemberUniqueName="[Table1].[Store].[All]" allUniqueName="[Table1].[Store].[All]" dimensionUniqueName="[Table1]" displayFolder="" count="2" memberValueDatatype="13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Quantity]" caption="Re-Order Quantity" attribute="1" defaultMemberUniqueName="[Table1].[Re-Order Quantity].[All]" allUniqueName="[Table1].[Re-Order Quantity].[All]" dimensionUniqueName="[Table1]" displayFolder="" count="0" memberValueDatatype="20" unbalanced="0"/>
    <cacheHierarchy uniqueName="[Table3].[Date]" caption="Date" attribute="1" time="1" defaultMemberUniqueName="[Table3].[Date].[All]" allUniqueName="[Table3].[Date].[All]" dimensionUniqueName="[Table3]" displayFolder="" count="0" memberValueDatatype="7" unbalanced="0"/>
    <cacheHierarchy uniqueName="[Table3].[Product Id]" caption="Product Id" attribute="1" defaultMemberUniqueName="[Table3].[Product Id].[All]" allUniqueName="[Table3].[Product Id].[All]" dimensionUniqueName="[Table3]" displayFolder="" count="0" memberValueDatatype="130" unbalanced="0"/>
    <cacheHierarchy uniqueName="[Table3].[Transaction Type]" caption="Transaction Type" attribute="1" defaultMemberUniqueName="[Table3].[Transaction Type].[All]" allUniqueName="[Table3].[Transaction Type].[All]" dimensionUniqueName="[Table3]" displayFolder="" count="2" memberValueDatatype="130" unbalanced="0">
      <fieldsUsage count="2">
        <fieldUsage x="-1"/>
        <fieldUsage x="0"/>
      </fieldsUsage>
    </cacheHierarchy>
    <cacheHierarchy uniqueName="[Table3].[Quantity]" caption="Quantity" attribute="1" defaultMemberUniqueName="[Table3].[Quantity].[All]" allUniqueName="[Table3].[Quantity].[All]" dimensionUniqueName="[Table3]" displayFolder="" count="0" memberValueDatatype="2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able3"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Re-Order Level]" caption="Sum of Re-Order Level" measure="1" displayFolder="" measureGroup="Table1" count="0" hidden="1">
      <extLst>
        <ext xmlns:x15="http://schemas.microsoft.com/office/spreadsheetml/2010/11/main" uri="{B97F6D7D-B522-45F9-BDA1-12C45D357490}">
          <x15:cacheHierarchy aggregatedColumn="11"/>
        </ext>
      </extLst>
    </cacheHierarchy>
  </cacheHierarchies>
  <kpis count="0"/>
  <dimensions count="4">
    <dimension name="Calendar" uniqueName="[Calendar]" caption="Calendar"/>
    <dimension measure="1" name="Measures" uniqueName="[Measures]" caption="Measures"/>
    <dimension name="Table1" uniqueName="[Table1]" caption="Table1"/>
    <dimension name="Table3" uniqueName="[Table3]" caption="Table3"/>
  </dimensions>
  <measureGroups count="3">
    <measureGroup name="Calendar" caption="Calendar"/>
    <measureGroup name="Table1" caption="Table1"/>
    <measureGroup name="Table3" caption="Table3"/>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1.70575335648" createdVersion="5" refreshedVersion="8" minRefreshableVersion="3" recordCount="0" supportSubquery="1" supportAdvancedDrill="1" xr:uid="{A51F9941-B547-4B96-ACA4-5D62EC1FC5D3}">
  <cacheSource type="external" connectionId="2"/>
  <cacheFields count="6">
    <cacheField name="[Table3].[Transaction Type].[Transaction Type]" caption="Transaction Type" numFmtId="0" hierarchy="15" level="1">
      <sharedItems containsSemiMixedTypes="0" containsNonDate="0" containsString="0"/>
    </cacheField>
    <cacheField name="[Measures].[Sum of Quantity]" caption="Sum of Quantity" numFmtId="0" hierarchy="21" level="32767"/>
    <cacheField name="[Table1].[Product Id].[Product Id]" caption="Product Id" numFmtId="0" hierarchy="8" level="1">
      <sharedItems count="20">
        <s v="P-001"/>
        <s v="P-002"/>
        <s v="P-003"/>
        <s v="P-004"/>
        <s v="P-005"/>
        <s v="P-006"/>
        <s v="P-007"/>
        <s v="P-008"/>
        <s v="P-009"/>
        <s v="P-010"/>
        <s v="P-011"/>
        <s v="P-012"/>
        <s v="P-013"/>
        <s v="P-014"/>
        <s v="P-015"/>
        <s v="P-016"/>
        <s v="P-017"/>
        <s v="P-018"/>
        <s v="P-019"/>
        <s v="P-020"/>
      </sharedItems>
    </cacheField>
    <cacheField name="[Table1].[Product Name].[Product Name]" caption="Product Name" numFmtId="0" hierarchy="9" level="1">
      <sharedItems count="20">
        <s v="Product 1"/>
        <s v="Product 2"/>
        <s v="Product 3"/>
        <s v="Product 4"/>
        <s v="Product 5"/>
        <s v="Product 6"/>
        <s v="Product 7"/>
        <s v="Product 8"/>
        <s v="Product 9"/>
        <s v="Product 10"/>
        <s v="Product 11"/>
        <s v="Product 12"/>
        <s v="Product 13"/>
        <s v="Product 14"/>
        <s v="Product 15"/>
        <s v="Product 16"/>
        <s v="Product 17"/>
        <s v="Product 18"/>
        <s v="Product 19"/>
        <s v="Product 20"/>
      </sharedItems>
    </cacheField>
    <cacheField name="[Table1].[Store].[Store]" caption="Store" numFmtId="0" hierarchy="10" level="1">
      <sharedItems count="5">
        <s v="Store 1"/>
        <s v="Store 2"/>
        <s v="Store 3"/>
        <s v="Store 4"/>
        <s v="Store 5"/>
      </sharedItems>
    </cacheField>
    <cacheField name="[Measures].[Sum of Re-Order Level]" caption="Sum of Re-Order Level" numFmtId="0" hierarchy="22" level="32767"/>
  </cacheFields>
  <cacheHierarchies count="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Product Id]" caption="Product Id" attribute="1" defaultMemberUniqueName="[Table1].[Product Id].[All]" allUniqueName="[Table1].[Product Id].[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3"/>
      </fieldsUsage>
    </cacheHierarchy>
    <cacheHierarchy uniqueName="[Table1].[Store]" caption="Store" attribute="1" defaultMemberUniqueName="[Table1].[Store].[All]" allUniqueName="[Table1].[Store].[All]" dimensionUniqueName="[Table1]" displayFolder="" count="2" memberValueDatatype="130" unbalanced="0">
      <fieldsUsage count="2">
        <fieldUsage x="-1"/>
        <fieldUsage x="4"/>
      </fieldsUsage>
    </cacheHierarchy>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Quantity]" caption="Re-Order Quantity" attribute="1" defaultMemberUniqueName="[Table1].[Re-Order Quantity].[All]" allUniqueName="[Table1].[Re-Order Quantity].[All]" dimensionUniqueName="[Table1]" displayFolder="" count="0" memberValueDatatype="20" unbalanced="0"/>
    <cacheHierarchy uniqueName="[Table3].[Date]" caption="Date" attribute="1" time="1" defaultMemberUniqueName="[Table3].[Date].[All]" allUniqueName="[Table3].[Date].[All]" dimensionUniqueName="[Table3]" displayFolder="" count="0" memberValueDatatype="7" unbalanced="0"/>
    <cacheHierarchy uniqueName="[Table3].[Product Id]" caption="Product Id" attribute="1" defaultMemberUniqueName="[Table3].[Product Id].[All]" allUniqueName="[Table3].[Product Id].[All]" dimensionUniqueName="[Table3]" displayFolder="" count="0" memberValueDatatype="130" unbalanced="0"/>
    <cacheHierarchy uniqueName="[Table3].[Transaction Type]" caption="Transaction Type" attribute="1" defaultMemberUniqueName="[Table3].[Transaction Type].[All]" allUniqueName="[Table3].[Transaction Type].[All]" dimensionUniqueName="[Table3]" displayFolder="" count="2" memberValueDatatype="130" unbalanced="0">
      <fieldsUsage count="2">
        <fieldUsage x="-1"/>
        <fieldUsage x="0"/>
      </fieldsUsage>
    </cacheHierarchy>
    <cacheHierarchy uniqueName="[Table3].[Quantity]" caption="Quantity" attribute="1" defaultMemberUniqueName="[Table3].[Quantity].[All]" allUniqueName="[Table3].[Quantity].[All]" dimensionUniqueName="[Table3]" displayFolder="" count="0" memberValueDatatype="2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able3"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Re-Order Level]" caption="Sum of Re-Order Level" measure="1" displayFolder="" measureGroup="Table1" count="0" oneField="1" hidden="1">
      <fieldsUsage count="1">
        <fieldUsage x="5"/>
      </fieldsUsage>
      <extLst>
        <ext xmlns:x15="http://schemas.microsoft.com/office/spreadsheetml/2010/11/main" uri="{B97F6D7D-B522-45F9-BDA1-12C45D357490}">
          <x15:cacheHierarchy aggregatedColumn="11"/>
        </ext>
      </extLst>
    </cacheHierarchy>
  </cacheHierarchies>
  <kpis count="0"/>
  <dimensions count="4">
    <dimension name="Calendar" uniqueName="[Calendar]" caption="Calendar"/>
    <dimension measure="1" name="Measures" uniqueName="[Measures]" caption="Measures"/>
    <dimension name="Table1" uniqueName="[Table1]" caption="Table1"/>
    <dimension name="Table3" uniqueName="[Table3]" caption="Table3"/>
  </dimensions>
  <measureGroups count="3">
    <measureGroup name="Calendar" caption="Calendar"/>
    <measureGroup name="Table1" caption="Table1"/>
    <measureGroup name="Table3" caption="Table3"/>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1.705753587965" createdVersion="8" refreshedVersion="8" minRefreshableVersion="3" recordCount="0" supportSubquery="1" supportAdvancedDrill="1" xr:uid="{3EAEC598-E6DB-43C4-ADF5-6DEA742059B3}">
  <cacheSource type="external" connectionId="2"/>
  <cacheFields count="1">
    <cacheField name="[Table1].[Product Name].[Product Name]" caption="Product Name" numFmtId="0" hierarchy="9" level="1">
      <sharedItems containsSemiMixedTypes="0" containsNonDate="0" containsString="0"/>
    </cacheField>
  </cacheFields>
  <cacheHierarchies count="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Store]" caption="Store" attribute="1" defaultMemberUniqueName="[Table1].[Store].[All]" allUniqueName="[Table1].[Store].[All]" dimensionUniqueName="[Table1]" displayFolder="" count="2" memberValueDatatype="13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Quantity]" caption="Re-Order Quantity" attribute="1" defaultMemberUniqueName="[Table1].[Re-Order Quantity].[All]" allUniqueName="[Table1].[Re-Order Quantity].[All]" dimensionUniqueName="[Table1]" displayFolder="" count="0" memberValueDatatype="20" unbalanced="0"/>
    <cacheHierarchy uniqueName="[Table3].[Date]" caption="Date" attribute="1" time="1" defaultMemberUniqueName="[Table3].[Date].[All]" allUniqueName="[Table3].[Date].[All]" dimensionUniqueName="[Table3]" displayFolder="" count="0" memberValueDatatype="7" unbalanced="0"/>
    <cacheHierarchy uniqueName="[Table3].[Product Id]" caption="Product Id" attribute="1" defaultMemberUniqueName="[Table3].[Product Id].[All]" allUniqueName="[Table3].[Product Id].[All]" dimensionUniqueName="[Table3]" displayFolder="" count="0" memberValueDatatype="130" unbalanced="0"/>
    <cacheHierarchy uniqueName="[Table3].[Transaction Type]" caption="Transaction Type" attribute="1" defaultMemberUniqueName="[Table3].[Transaction Type].[All]" allUniqueName="[Table3].[Transaction Type].[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able3" count="0" hidden="1">
      <extLst>
        <ext xmlns:x15="http://schemas.microsoft.com/office/spreadsheetml/2010/11/main" uri="{B97F6D7D-B522-45F9-BDA1-12C45D357490}">
          <x15:cacheHierarchy aggregatedColumn="16"/>
        </ext>
      </extLst>
    </cacheHierarchy>
    <cacheHierarchy uniqueName="[Measures].[Sum of Re-Order Level]" caption="Sum of Re-Order Level" measure="1" displayFolder="" measureGroup="Table1" count="0" hidden="1">
      <extLst>
        <ext xmlns:x15="http://schemas.microsoft.com/office/spreadsheetml/2010/11/main" uri="{B97F6D7D-B522-45F9-BDA1-12C45D357490}">
          <x15:cacheHierarchy aggregatedColumn="11"/>
        </ext>
      </extLst>
    </cacheHierarchy>
  </cacheHierarchies>
  <kpis count="0"/>
  <dimensions count="4">
    <dimension name="Calendar" uniqueName="[Calendar]" caption="Calendar"/>
    <dimension measure="1" name="Measures" uniqueName="[Measures]" caption="Measures"/>
    <dimension name="Table1" uniqueName="[Table1]" caption="Table1"/>
    <dimension name="Table3" uniqueName="[Table3]" caption="Table3"/>
  </dimensions>
  <measureGroups count="3">
    <measureGroup name="Calendar" caption="Calendar"/>
    <measureGroup name="Table1" caption="Table1"/>
    <measureGroup name="Table3" caption="Table3"/>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8.884022685183" createdVersion="3" refreshedVersion="8" minRefreshableVersion="3" recordCount="0" supportSubquery="1" supportAdvancedDrill="1" xr:uid="{B91C8B12-C420-4C70-9B14-F71B04DFBE8E}">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tore]" caption="Store" attribute="1" defaultMemberUniqueName="[Table1].[Store].[All]" allUniqueName="[Table1].[Store].[All]" dimensionUniqueName="[Table1]" displayFolder="" count="2" memberValueDatatype="13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Quantity]" caption="Re-Order Quantity" attribute="1" defaultMemberUniqueName="[Table1].[Re-Order Quantity].[All]" allUniqueName="[Table1].[Re-Order Quantity].[All]" dimensionUniqueName="[Table1]" displayFolder="" count="0" memberValueDatatype="20" unbalanced="0"/>
    <cacheHierarchy uniqueName="[Table3].[Date]" caption="Date" attribute="1" time="1" defaultMemberUniqueName="[Table3].[Date].[All]" allUniqueName="[Table3].[Date].[All]" dimensionUniqueName="[Table3]" displayFolder="" count="0" memberValueDatatype="7" unbalanced="0"/>
    <cacheHierarchy uniqueName="[Table3].[Product Id]" caption="Product Id" attribute="1" defaultMemberUniqueName="[Table3].[Product Id].[All]" allUniqueName="[Table3].[Product Id].[All]" dimensionUniqueName="[Table3]" displayFolder="" count="0" memberValueDatatype="130" unbalanced="0"/>
    <cacheHierarchy uniqueName="[Table3].[Transaction Type]" caption="Transaction Type" attribute="1" defaultMemberUniqueName="[Table3].[Transaction Type].[All]" allUniqueName="[Table3].[Transaction Type].[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able3" count="0" hidden="1">
      <extLst>
        <ext xmlns:x15="http://schemas.microsoft.com/office/spreadsheetml/2010/11/main" uri="{B97F6D7D-B522-45F9-BDA1-12C45D357490}">
          <x15:cacheHierarchy aggregatedColumn="16"/>
        </ext>
      </extLst>
    </cacheHierarchy>
    <cacheHierarchy uniqueName="[Measures].[Sum of Re-Order Level]" caption="Sum of Re-Order Level"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37537727"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8.884026504631" createdVersion="3" refreshedVersion="8" minRefreshableVersion="3" recordCount="0" supportSubquery="1" supportAdvancedDrill="1" xr:uid="{64EB0B29-C4BE-4590-85CF-AE67A43BECDB}">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tore]" caption="Store" attribute="1" defaultMemberUniqueName="[Table1].[Store].[All]" allUniqueName="[Table1].[Store].[All]" dimensionUniqueName="[Table1]" displayFolder="" count="0" memberValueDatatype="13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Quantity]" caption="Re-Order Quantity" attribute="1" defaultMemberUniqueName="[Table1].[Re-Order Quantity].[All]" allUniqueName="[Table1].[Re-Order Quantity].[All]" dimensionUniqueName="[Table1]" displayFolder="" count="0" memberValueDatatype="20" unbalanced="0"/>
    <cacheHierarchy uniqueName="[Table3].[Date]" caption="Date" attribute="1" time="1" defaultMemberUniqueName="[Table3].[Date].[All]" allUniqueName="[Table3].[Date].[All]" dimensionUniqueName="[Table3]" displayFolder="" count="0" memberValueDatatype="7" unbalanced="0"/>
    <cacheHierarchy uniqueName="[Table3].[Product Id]" caption="Product Id" attribute="1" defaultMemberUniqueName="[Table3].[Product Id].[All]" allUniqueName="[Table3].[Product Id].[All]" dimensionUniqueName="[Table3]" displayFolder="" count="0" memberValueDatatype="130" unbalanced="0"/>
    <cacheHierarchy uniqueName="[Table3].[Transaction Type]" caption="Transaction Type" attribute="1" defaultMemberUniqueName="[Table3].[Transaction Type].[All]" allUniqueName="[Table3].[Transaction Type].[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Table3" count="0" hidden="1">
      <extLst>
        <ext xmlns:x15="http://schemas.microsoft.com/office/spreadsheetml/2010/11/main" uri="{B97F6D7D-B522-45F9-BDA1-12C45D357490}">
          <x15:cacheHierarchy aggregatedColumn="16"/>
        </ext>
      </extLst>
    </cacheHierarchy>
    <cacheHierarchy uniqueName="[Measures].[Sum of Re-Order Level]" caption="Sum of Re-Order Level"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5450424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AEF574-8FF5-425C-88F9-C8B91D7E2B12}" name="PivotTable3" cacheId="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P6" firstHeaderRow="0" firstDataRow="0" firstDataCol="0" rowPageCount="1" colPageCount="1"/>
  <pivotFields count="1">
    <pivotField axis="axisPage" allDrilled="1" subtotalTop="0" showAll="0" dataSourceSort="1" defaultSubtotal="0" defaultAttributeDrillState="1"/>
  </pivotFields>
  <pageFields count="1">
    <pageField fld="0" hier="9" name="[Table1].[Product Name].[All]" cap="All"/>
  </pageFields>
  <pivotHierarchies count="23">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40BA62-D8C2-4B12-AE97-1250DED1E6B8}" name="PivotTable4" cacheId="2" applyNumberFormats="0" applyBorderFormats="0" applyFontFormats="0" applyPatternFormats="0" applyAlignmentFormats="0" applyWidthHeightFormats="1" dataCaption="Values" tag="cfd83176-4276-4b3b-baed-d0d1248321c6" updatedVersion="8" minRefreshableVersion="3" useAutoFormatting="1" itemPrintTitles="1" createdVersion="5" indent="0" outline="1" outlineData="1" multipleFieldFilters="0">
  <location ref="J3:J4"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Quantity" fld="1" baseField="0" baseItem="0"/>
  </dataFields>
  <pivotHierarchies count="23">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Table3].[Transaction Type].&amp;[Receip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Quantity"/>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3277AF-8B2B-4886-8C7C-8BA9361581C4}" name="PivotTable2" cacheId="1" applyNumberFormats="0" applyBorderFormats="0" applyFontFormats="0" applyPatternFormats="0" applyAlignmentFormats="0" applyWidthHeightFormats="1" dataCaption="Values" tag="4e085be5-2215-4f81-b754-908c1bc2a531" updatedVersion="8" minRefreshableVersion="3" useAutoFormatting="1" itemPrintTitles="1" createdVersion="5" indent="0" outline="1" outlineData="1" multipleFieldFilters="0">
  <location ref="F3:F4"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5" name="[Table3].[Transaction Type].&amp;[Dispatch]" cap="Dispatch"/>
  </pageFields>
  <dataFields count="1">
    <dataField name="Dispatch" fld="1" baseField="0" baseItem="0" numFmtId="164"/>
  </dataFields>
  <formats count="1">
    <format dxfId="1">
      <pivotArea outline="0" collapsedLevelsAreSubtotals="1" fieldPosition="0"/>
    </format>
  </formats>
  <pivotHierarchies count="23">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Table3].[Transaction Type].&amp;[Dispatch]"/>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Dispatch"/>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F24BDB-CC59-4DBD-ACCD-2B670651C3E2}" name="PivotTable1" cacheId="0" applyNumberFormats="0" applyBorderFormats="0" applyFontFormats="0" applyPatternFormats="0" applyAlignmentFormats="0" applyWidthHeightFormats="1" dataCaption="Values" tag="9a608c13-d263-4b7b-9a10-d92286036f8e" updatedVersion="8" minRefreshableVersion="3" useAutoFormatting="1" itemPrintTitles="1" createdVersion="5" indent="0" outline="1" outlineData="1" multipleFieldFilters="0">
  <location ref="B3:B4"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5" name="[Table3].[Transaction Type].&amp;[Receipt]" cap="Receipt"/>
  </pageFields>
  <dataFields count="1">
    <dataField name="Receipts" fld="1" baseField="0" baseItem="0"/>
  </dataFields>
  <pivotHierarchies count="23">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Table3].[Transaction Type].&amp;[Receip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ceipt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9E40FF-DA08-4C91-89D6-6C59679BDC4E}" name="PivotTable6" cacheId="4" applyNumberFormats="0" applyBorderFormats="0" applyFontFormats="0" applyPatternFormats="0" applyAlignmentFormats="0" applyWidthHeightFormats="1" dataCaption="Values" tag="d5eb553f-9065-4d6d-942a-28109cb981da" updatedVersion="8" minRefreshableVersion="3" useAutoFormatting="1" rowGrandTotals="0" colGrandTotals="0" itemPrintTitles="1" createdVersion="5" indent="0" compact="0" compactData="0" multipleFieldFilters="0">
  <location ref="R3:V23" firstHeaderRow="0" firstDataRow="1" firstDataCol="3"/>
  <pivotFields count="6">
    <pivotField compact="0" allDrilled="1" outline="0" showAll="0" dataSourceSort="1" defaultSubtotal="0" defaultAttributeDrillState="1"/>
    <pivotField dataField="1" compact="0" outline="0" showAll="0" defaultSubtotal="0"/>
    <pivotField axis="axisRow" compact="0" allDrilled="1" outline="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xis="axisRow" compact="0" allDrilled="1" outline="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Row" compact="0" allDrilled="1" outline="0" showAll="0" dataSourceSort="1" defaultSubtotal="0" defaultAttributeDrillState="1">
      <items count="5">
        <item x="0"/>
        <item x="1"/>
        <item x="2"/>
        <item x="3"/>
        <item x="4"/>
      </items>
    </pivotField>
    <pivotField dataField="1" compact="0" outline="0" subtotalTop="0" showAll="0" defaultSubtotal="0"/>
  </pivotFields>
  <rowFields count="3">
    <field x="2"/>
    <field x="3"/>
    <field x="4"/>
  </rowFields>
  <rowItems count="20">
    <i>
      <x v="5"/>
      <x v="5"/>
      <x/>
    </i>
    <i>
      <x v="3"/>
      <x v="3"/>
      <x v="3"/>
    </i>
    <i>
      <x v="6"/>
      <x v="6"/>
      <x v="1"/>
    </i>
    <i>
      <x v="19"/>
      <x v="19"/>
      <x v="4"/>
    </i>
    <i>
      <x/>
      <x/>
      <x/>
    </i>
    <i>
      <x v="13"/>
      <x v="13"/>
      <x v="3"/>
    </i>
    <i>
      <x v="9"/>
      <x v="9"/>
      <x v="4"/>
    </i>
    <i>
      <x v="11"/>
      <x v="11"/>
      <x v="1"/>
    </i>
    <i>
      <x v="2"/>
      <x v="2"/>
      <x v="2"/>
    </i>
    <i>
      <x v="16"/>
      <x v="16"/>
      <x v="1"/>
    </i>
    <i>
      <x v="4"/>
      <x v="4"/>
      <x v="4"/>
    </i>
    <i>
      <x v="8"/>
      <x v="8"/>
      <x v="3"/>
    </i>
    <i>
      <x v="15"/>
      <x v="15"/>
      <x/>
    </i>
    <i>
      <x v="18"/>
      <x v="18"/>
      <x v="3"/>
    </i>
    <i>
      <x v="10"/>
      <x v="10"/>
      <x/>
    </i>
    <i>
      <x v="14"/>
      <x v="14"/>
      <x v="4"/>
    </i>
    <i>
      <x v="1"/>
      <x v="1"/>
      <x v="1"/>
    </i>
    <i>
      <x v="12"/>
      <x v="12"/>
      <x v="2"/>
    </i>
    <i>
      <x v="17"/>
      <x v="17"/>
      <x v="2"/>
    </i>
    <i>
      <x v="7"/>
      <x v="7"/>
      <x v="2"/>
    </i>
  </rowItems>
  <colFields count="1">
    <field x="-2"/>
  </colFields>
  <colItems count="2">
    <i>
      <x/>
    </i>
    <i i="1">
      <x v="1"/>
    </i>
  </colItems>
  <dataFields count="2">
    <dataField name="Sum of Quantity" fld="1" baseField="0" baseItem="0"/>
    <dataField name="Sum of Re-Order Level" fld="5" baseField="0" baseItem="0"/>
  </dataFields>
  <pivotHierarchies count="23">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Table3].[Transaction Type].&amp;[Receip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3">
    <rowHierarchyUsage hierarchyUsage="8"/>
    <rowHierarchyUsage hierarchyUsage="9"/>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alendar]"/>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77E03D-0BF9-4644-83E4-C824A66FB883}" name="PivotTable5" cacheId="3" applyNumberFormats="0" applyBorderFormats="0" applyFontFormats="0" applyPatternFormats="0" applyAlignmentFormats="0" applyWidthHeightFormats="1" dataCaption="Values" tag="c306b9b9-b318-4acd-9823-afae38356495" updatedVersion="8" minRefreshableVersion="3" useAutoFormatting="1" rowGrandTotals="0" colGrandTotals="0" itemPrintTitles="1" createdVersion="5" indent="0" outline="1" outlineData="1" multipleFieldFilters="0">
  <location ref="L3:M1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Items count="1">
    <i/>
  </colItems>
  <dataFields count="1">
    <dataField name="Sum of Quantity" fld="1" showDataAs="runTotal" baseField="2" baseItem="0"/>
  </dataFields>
  <pivotHierarchies count="23">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Table3].[Transaction Type].&amp;[Receipt]"/>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alendar]"/>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690915F4-AA5C-4636-BC00-A4069C180E73}" sourceName="[Table1].[Store]">
  <pivotTables>
    <pivotTable tabId="3" name="PivotTable1"/>
    <pivotTable tabId="3" name="PivotTable2"/>
    <pivotTable tabId="3" name="PivotTable4"/>
    <pivotTable tabId="3" name="PivotTable5"/>
    <pivotTable tabId="3" name="PivotTable6"/>
    <pivotTable tabId="4" name="PivotTable3"/>
  </pivotTables>
  <data>
    <olap pivotCacheId="37537727">
      <levels count="2">
        <level uniqueName="[Table1].[Store].[(All)]" sourceCaption="(All)" count="0"/>
        <level uniqueName="[Table1].[Store].[Store]" sourceCaption="Store" count="5">
          <ranges>
            <range startItem="0">
              <i n="[Table1].[Store].&amp;[Store 1]" c="Store 1"/>
              <i n="[Table1].[Store].&amp;[Store 2]" c="Store 2"/>
              <i n="[Table1].[Store].&amp;[Store 3]" c="Store 3"/>
              <i n="[Table1].[Store].&amp;[Store 4]" c="Store 4"/>
              <i n="[Table1].[Store].&amp;[Store 5]" c="Store 5"/>
            </range>
          </ranges>
        </level>
      </levels>
      <selections count="1">
        <selection n="[Table1].[Stor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712EEBB-2DF8-457A-B2D2-215517DD0885}" sourceName="[Table1].[Product Name]">
  <pivotTables>
    <pivotTable tabId="3" name="PivotTable1"/>
    <pivotTable tabId="3" name="PivotTable2"/>
    <pivotTable tabId="3" name="PivotTable4"/>
    <pivotTable tabId="3" name="PivotTable5"/>
    <pivotTable tabId="3" name="PivotTable6"/>
    <pivotTable tabId="4" name="PivotTable3"/>
  </pivotTables>
  <data>
    <olap pivotCacheId="1545042448">
      <levels count="2">
        <level uniqueName="[Table1].[Product Name].[(All)]" sourceCaption="(All)" count="0"/>
        <level uniqueName="[Table1].[Product Name].[Product Name]" sourceCaption="Product Name" count="20">
          <ranges>
            <range startItem="0">
              <i n="[Table1].[Product Name].&amp;[Product 1]" c="Product 1"/>
              <i n="[Table1].[Product Name].&amp;[Product 10]" c="Product 10"/>
              <i n="[Table1].[Product Name].&amp;[Product 11]" c="Product 11"/>
              <i n="[Table1].[Product Name].&amp;[Product 12]" c="Product 12"/>
              <i n="[Table1].[Product Name].&amp;[Product 13]" c="Product 13"/>
              <i n="[Table1].[Product Name].&amp;[Product 14]" c="Product 14"/>
              <i n="[Table1].[Product Name].&amp;[Product 15]" c="Product 15"/>
              <i n="[Table1].[Product Name].&amp;[Product 16]" c="Product 16"/>
              <i n="[Table1].[Product Name].&amp;[Product 17]" c="Product 17"/>
              <i n="[Table1].[Product Name].&amp;[Product 18]" c="Product 18"/>
              <i n="[Table1].[Product Name].&amp;[Product 19]" c="Product 19"/>
              <i n="[Table1].[Product Name].&amp;[Product 2]" c="Product 2"/>
              <i n="[Table1].[Product Name].&amp;[Product 20]" c="Product 20"/>
              <i n="[Table1].[Product Name].&amp;[Product 3]" c="Product 3"/>
              <i n="[Table1].[Product Name].&amp;[Product 4]" c="Product 4"/>
              <i n="[Table1].[Product Name].&amp;[Product 5]" c="Product 5"/>
              <i n="[Table1].[Product Name].&amp;[Product 6]" c="Product 6"/>
              <i n="[Table1].[Product Name].&amp;[Product 7]" c="Product 7"/>
              <i n="[Table1].[Product Name].&amp;[Product 8]" c="Product 8"/>
              <i n="[Table1].[Product Name].&amp;[Product 9]" c="Product 9"/>
            </range>
          </ranges>
        </level>
      </levels>
      <selections count="1">
        <selection n="[Table1].[Product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2F79C912-AC89-4D2F-9357-549641700704}" cache="Slicer_Store" caption="Store" level="1" style="SlicerStyleLight1 2" rowHeight="7315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185EA6C3-4509-4139-91D6-039A7D0DD460}" cache="Slicer_Product_Name" caption="Product Name"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A6E56E-402A-4644-8CF4-3CE30A661B5C}" name="Table1" displayName="Table1" ref="A1:E21" totalsRowShown="0">
  <autoFilter ref="A1:E21" xr:uid="{29A6E56E-402A-4644-8CF4-3CE30A661B5C}"/>
  <tableColumns count="5">
    <tableColumn id="1" xr3:uid="{958958DE-5208-4B29-89DA-0AA32246B27C}" name="Product Id"/>
    <tableColumn id="2" xr3:uid="{7E6F85C1-FBC3-4007-9E77-E3CEE3D5C43C}" name="Product Name"/>
    <tableColumn id="3" xr3:uid="{39C20E68-9998-423B-B6C0-175D84808073}" name="Store"/>
    <tableColumn id="4" xr3:uid="{D0FA801C-2BDD-45C8-BFB2-C449BA8B3689}" name="Re-Order Level"/>
    <tableColumn id="5" xr3:uid="{5117CBDE-1D69-443B-A2EA-9ED9D3876614}" name="Re-Order Quant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7F9E11-6DB1-4F70-A8D1-CD1908080B72}" name="Table3" displayName="Table3" ref="A1:D103" totalsRowShown="0">
  <autoFilter ref="A1:D103" xr:uid="{3C7F9E11-6DB1-4F70-A8D1-CD1908080B72}"/>
  <tableColumns count="4">
    <tableColumn id="1" xr3:uid="{D070C617-FC2D-4369-9A03-641DCBD59DD4}" name="Date" dataDxfId="0"/>
    <tableColumn id="2" xr3:uid="{2A08E2A4-22C9-4C02-9DC1-4CB7CF72751F}" name="Product Id"/>
    <tableColumn id="3" xr3:uid="{F20B2B09-015D-41D5-881D-D89C9CAC1E79}" name="Transaction Type"/>
    <tableColumn id="4" xr3:uid="{E7864F62-D828-43E3-9108-A2C5D5B77B09}" name="Quant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3.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71905-FD19-4333-A688-0B43D6003B84}">
  <dimension ref="A1:V27"/>
  <sheetViews>
    <sheetView tabSelected="1" zoomScale="90" zoomScaleNormal="90" workbookViewId="0">
      <selection activeCell="Q10" sqref="Q10"/>
    </sheetView>
  </sheetViews>
  <sheetFormatPr defaultRowHeight="15" x14ac:dyDescent="0.25"/>
  <cols>
    <col min="1" max="1" width="2.7109375" style="7" customWidth="1"/>
    <col min="2" max="2" width="17.7109375" style="7" customWidth="1"/>
    <col min="3" max="3" width="2.7109375" style="7" customWidth="1"/>
    <col min="4" max="4" width="17.7109375" style="7" customWidth="1"/>
    <col min="5" max="5" width="2.7109375" style="7" customWidth="1"/>
    <col min="6" max="6" width="17.7109375" style="7" customWidth="1"/>
    <col min="7" max="7" width="2.7109375" style="7" customWidth="1"/>
    <col min="8" max="8" width="17.7109375" style="7" customWidth="1"/>
    <col min="9" max="9" width="2.7109375" style="7" customWidth="1"/>
    <col min="10" max="10" width="17.7109375" style="7" customWidth="1"/>
    <col min="11" max="11" width="2.7109375" style="7" customWidth="1"/>
    <col min="12" max="12" width="17.7109375" style="7" customWidth="1"/>
    <col min="13" max="13" width="2.7109375" style="7" customWidth="1"/>
    <col min="14" max="14" width="17.7109375" style="7" customWidth="1"/>
    <col min="15" max="15" width="9.140625" style="7"/>
    <col min="16" max="16" width="13.7109375" style="7" bestFit="1" customWidth="1"/>
    <col min="17" max="17" width="9.140625" style="7" customWidth="1"/>
    <col min="18" max="16384" width="9.140625" style="7"/>
  </cols>
  <sheetData>
    <row r="1" spans="1:22" s="30" customFormat="1" ht="15.75" x14ac:dyDescent="0.25">
      <c r="A1" s="36"/>
      <c r="B1" s="36"/>
      <c r="C1" s="36"/>
      <c r="D1" s="36"/>
      <c r="E1" s="36"/>
      <c r="F1" s="36"/>
      <c r="G1" s="36"/>
      <c r="H1" s="36"/>
      <c r="I1" s="36"/>
      <c r="J1" s="36"/>
      <c r="K1" s="36"/>
      <c r="L1" s="36"/>
      <c r="M1" s="36"/>
      <c r="N1" s="36"/>
      <c r="O1" s="36"/>
      <c r="P1" s="36"/>
      <c r="Q1" s="36"/>
      <c r="R1" s="36"/>
      <c r="S1" s="36"/>
      <c r="T1" s="36"/>
      <c r="U1" s="36"/>
      <c r="V1" s="36"/>
    </row>
    <row r="2" spans="1:22" ht="16.5" thickBot="1" x14ac:dyDescent="0.3">
      <c r="B2" s="37" t="s">
        <v>96</v>
      </c>
      <c r="D2" s="18" t="s">
        <v>87</v>
      </c>
      <c r="F2" s="17" t="s">
        <v>84</v>
      </c>
      <c r="H2" s="17" t="s">
        <v>85</v>
      </c>
      <c r="J2" s="31"/>
      <c r="K2" s="31"/>
      <c r="L2" s="32" t="s">
        <v>86</v>
      </c>
      <c r="M2" s="31"/>
      <c r="N2" s="31"/>
      <c r="P2" s="27" t="s">
        <v>88</v>
      </c>
      <c r="Q2" s="16"/>
    </row>
    <row r="4" spans="1:22" x14ac:dyDescent="0.25">
      <c r="P4" s="3" t="s">
        <v>1</v>
      </c>
      <c r="Q4" t="s" vm="3">
        <v>83</v>
      </c>
    </row>
    <row r="10" spans="1:22" ht="16.5" thickBot="1" x14ac:dyDescent="0.3">
      <c r="C10" s="33"/>
      <c r="D10" s="32" t="s">
        <v>89</v>
      </c>
      <c r="E10" s="33"/>
      <c r="F10" s="34"/>
      <c r="G10" s="34"/>
      <c r="H10" s="34"/>
      <c r="I10" s="34"/>
      <c r="J10" s="34"/>
      <c r="K10" s="34"/>
      <c r="L10" s="34"/>
    </row>
    <row r="11" spans="1:22" x14ac:dyDescent="0.25">
      <c r="B11" s="21"/>
      <c r="F11" s="21"/>
    </row>
    <row r="12" spans="1:22" ht="18.75" x14ac:dyDescent="0.3">
      <c r="D12" s="19" t="s">
        <v>90</v>
      </c>
      <c r="E12" s="20"/>
      <c r="F12" s="19" t="s">
        <v>91</v>
      </c>
      <c r="G12" s="20"/>
      <c r="H12" s="19" t="s">
        <v>92</v>
      </c>
      <c r="I12" s="20"/>
      <c r="J12" s="19" t="s">
        <v>93</v>
      </c>
      <c r="K12" s="20"/>
      <c r="L12" s="19" t="s">
        <v>94</v>
      </c>
      <c r="N12" s="35"/>
      <c r="O12" s="29" t="s">
        <v>95</v>
      </c>
      <c r="P12" s="29"/>
      <c r="Q12" s="28"/>
    </row>
    <row r="13" spans="1:22" x14ac:dyDescent="0.25">
      <c r="D13" s="22" t="str">
        <f>calcutaions!R4</f>
        <v>P-006</v>
      </c>
      <c r="F13" s="23" t="str">
        <f>calcutaions!S4</f>
        <v>Product 6</v>
      </c>
      <c r="H13" s="24" t="str">
        <f>calcutaions!T4</f>
        <v>Store 1</v>
      </c>
      <c r="J13" s="25">
        <f>calcutaions!U4</f>
        <v>10</v>
      </c>
      <c r="L13" s="26">
        <f>calcutaions!V4</f>
        <v>40</v>
      </c>
    </row>
    <row r="14" spans="1:22" x14ac:dyDescent="0.25">
      <c r="D14" s="10" t="str">
        <f>calcutaions!R5</f>
        <v>P-004</v>
      </c>
      <c r="E14" s="11"/>
      <c r="F14" s="12" t="str">
        <f>calcutaions!S5</f>
        <v>Product 4</v>
      </c>
      <c r="G14" s="11"/>
      <c r="H14" s="13" t="str">
        <f>calcutaions!T5</f>
        <v>Store 4</v>
      </c>
      <c r="I14" s="11"/>
      <c r="J14" s="14">
        <f>calcutaions!U5</f>
        <v>13</v>
      </c>
      <c r="K14" s="11"/>
      <c r="L14" s="15">
        <f>calcutaions!V5</f>
        <v>32</v>
      </c>
    </row>
    <row r="15" spans="1:22" x14ac:dyDescent="0.25">
      <c r="D15" s="10" t="str">
        <f>calcutaions!R6</f>
        <v>P-007</v>
      </c>
      <c r="E15" s="11"/>
      <c r="F15" s="12" t="str">
        <f>calcutaions!S6</f>
        <v>Product 7</v>
      </c>
      <c r="G15" s="11"/>
      <c r="H15" s="13" t="str">
        <f>calcutaions!T6</f>
        <v>Store 2</v>
      </c>
      <c r="I15" s="11"/>
      <c r="J15" s="14">
        <f>calcutaions!U6</f>
        <v>28</v>
      </c>
      <c r="K15" s="11"/>
      <c r="L15" s="15">
        <f>calcutaions!V6</f>
        <v>46</v>
      </c>
    </row>
    <row r="16" spans="1:22" x14ac:dyDescent="0.25">
      <c r="D16" s="10" t="str">
        <f>calcutaions!R7</f>
        <v>P-020</v>
      </c>
      <c r="E16" s="11"/>
      <c r="F16" s="12" t="str">
        <f>calcutaions!S7</f>
        <v>Product 20</v>
      </c>
      <c r="G16" s="11"/>
      <c r="H16" s="13" t="str">
        <f>calcutaions!T7</f>
        <v>Store 5</v>
      </c>
      <c r="I16" s="11"/>
      <c r="J16" s="14">
        <f>calcutaions!U7</f>
        <v>28</v>
      </c>
      <c r="K16" s="11"/>
      <c r="L16" s="15">
        <f>calcutaions!V7</f>
        <v>32</v>
      </c>
    </row>
    <row r="17" spans="4:12" x14ac:dyDescent="0.25">
      <c r="D17" s="10" t="str">
        <f>calcutaions!R8</f>
        <v>P-001</v>
      </c>
      <c r="E17" s="11"/>
      <c r="F17" s="12" t="str">
        <f>calcutaions!S8</f>
        <v>Product 1</v>
      </c>
      <c r="G17" s="11"/>
      <c r="H17" s="13" t="str">
        <f>calcutaions!T8</f>
        <v>Store 1</v>
      </c>
      <c r="I17" s="11"/>
      <c r="J17" s="14">
        <f>calcutaions!U8</f>
        <v>42</v>
      </c>
      <c r="K17" s="11"/>
      <c r="L17" s="15">
        <f>calcutaions!V8</f>
        <v>48</v>
      </c>
    </row>
    <row r="18" spans="4:12" x14ac:dyDescent="0.25">
      <c r="D18" s="10" t="str">
        <f>calcutaions!R9</f>
        <v>P-014</v>
      </c>
      <c r="E18" s="11"/>
      <c r="F18" s="12" t="str">
        <f>calcutaions!S9</f>
        <v>Product 14</v>
      </c>
      <c r="G18" s="11"/>
      <c r="H18" s="13" t="str">
        <f>calcutaions!T9</f>
        <v>Store 4</v>
      </c>
      <c r="I18" s="11"/>
      <c r="J18" s="14">
        <f>calcutaions!U9</f>
        <v>45</v>
      </c>
      <c r="K18" s="11"/>
      <c r="L18" s="15">
        <f>calcutaions!V9</f>
        <v>40</v>
      </c>
    </row>
    <row r="19" spans="4:12" x14ac:dyDescent="0.25">
      <c r="D19" s="10" t="str">
        <f>calcutaions!R10</f>
        <v>P-010</v>
      </c>
      <c r="E19" s="11"/>
      <c r="F19" s="12" t="str">
        <f>calcutaions!S10</f>
        <v>Product 10</v>
      </c>
      <c r="G19" s="11"/>
      <c r="H19" s="13" t="str">
        <f>calcutaions!T10</f>
        <v>Store 5</v>
      </c>
      <c r="I19" s="11"/>
      <c r="J19" s="14">
        <f>calcutaions!U10</f>
        <v>49</v>
      </c>
      <c r="K19" s="11"/>
      <c r="L19" s="15">
        <f>calcutaions!V10</f>
        <v>28</v>
      </c>
    </row>
    <row r="20" spans="4:12" x14ac:dyDescent="0.25">
      <c r="D20" s="10" t="str">
        <f>calcutaions!R11</f>
        <v>P-012</v>
      </c>
      <c r="E20" s="11"/>
      <c r="F20" s="12" t="str">
        <f>calcutaions!S11</f>
        <v>Product 12</v>
      </c>
      <c r="G20" s="11"/>
      <c r="H20" s="13" t="str">
        <f>calcutaions!T11</f>
        <v>Store 2</v>
      </c>
      <c r="I20" s="11"/>
      <c r="J20" s="14">
        <f>calcutaions!U11</f>
        <v>63</v>
      </c>
      <c r="K20" s="11"/>
      <c r="L20" s="15">
        <f>calcutaions!V11</f>
        <v>52</v>
      </c>
    </row>
    <row r="21" spans="4:12" x14ac:dyDescent="0.25">
      <c r="D21" s="10" t="str">
        <f>calcutaions!R12</f>
        <v>P-003</v>
      </c>
      <c r="E21" s="11"/>
      <c r="F21" s="12" t="str">
        <f>calcutaions!S12</f>
        <v>Product 3</v>
      </c>
      <c r="G21" s="11"/>
      <c r="H21" s="13" t="str">
        <f>calcutaions!T12</f>
        <v>Store 3</v>
      </c>
      <c r="I21" s="11"/>
      <c r="J21" s="14">
        <f>calcutaions!U12</f>
        <v>75</v>
      </c>
      <c r="K21" s="11"/>
      <c r="L21" s="15">
        <f>calcutaions!V12</f>
        <v>60</v>
      </c>
    </row>
    <row r="22" spans="4:12" x14ac:dyDescent="0.25">
      <c r="D22" s="10" t="str">
        <f>calcutaions!R13</f>
        <v>P-017</v>
      </c>
      <c r="E22" s="11"/>
      <c r="F22" s="12" t="str">
        <f>calcutaions!S13</f>
        <v>Product 17</v>
      </c>
      <c r="G22" s="11"/>
      <c r="H22" s="13" t="str">
        <f>calcutaions!T13</f>
        <v>Store 2</v>
      </c>
      <c r="I22" s="11"/>
      <c r="J22" s="14">
        <f>calcutaions!U13</f>
        <v>88</v>
      </c>
      <c r="K22" s="11"/>
      <c r="L22" s="15">
        <f>calcutaions!V13</f>
        <v>54</v>
      </c>
    </row>
    <row r="23" spans="4:12" x14ac:dyDescent="0.25">
      <c r="D23" s="10" t="str">
        <f>calcutaions!R14</f>
        <v>P-005</v>
      </c>
      <c r="E23" s="11"/>
      <c r="F23" s="12" t="str">
        <f>calcutaions!S14</f>
        <v>Product 5</v>
      </c>
      <c r="G23" s="11"/>
      <c r="H23" s="13" t="str">
        <f>calcutaions!T14</f>
        <v>Store 5</v>
      </c>
      <c r="I23" s="11"/>
      <c r="J23" s="14">
        <f>calcutaions!U14</f>
        <v>98</v>
      </c>
      <c r="K23" s="11"/>
      <c r="L23" s="15">
        <f>calcutaions!V14</f>
        <v>30</v>
      </c>
    </row>
    <row r="24" spans="4:12" x14ac:dyDescent="0.25">
      <c r="E24" s="11"/>
      <c r="G24" s="11"/>
      <c r="I24" s="11"/>
      <c r="K24" s="11"/>
    </row>
    <row r="27" spans="4:12" x14ac:dyDescent="0.25">
      <c r="L27" s="8"/>
    </row>
  </sheetData>
  <mergeCells count="1">
    <mergeCell ref="A1:V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27C10-C887-4A3D-98DB-EFEC4C17926B}">
  <dimension ref="A1:E21"/>
  <sheetViews>
    <sheetView workbookViewId="0">
      <selection activeCell="H9" sqref="H9"/>
    </sheetView>
  </sheetViews>
  <sheetFormatPr defaultColWidth="8.7109375" defaultRowHeight="15" x14ac:dyDescent="0.25"/>
  <cols>
    <col min="1" max="1" width="11.42578125" customWidth="1"/>
    <col min="2" max="2" width="16.140625" customWidth="1"/>
    <col min="3" max="3" width="10.85546875" customWidth="1"/>
    <col min="4" max="4" width="17" bestFit="1" customWidth="1"/>
    <col min="5" max="5" width="21.42578125" customWidth="1"/>
  </cols>
  <sheetData>
    <row r="1" spans="1:5" x14ac:dyDescent="0.25">
      <c r="A1" t="s">
        <v>0</v>
      </c>
      <c r="B1" t="s">
        <v>1</v>
      </c>
      <c r="C1" t="s">
        <v>63</v>
      </c>
      <c r="D1" t="s">
        <v>2</v>
      </c>
      <c r="E1" t="s">
        <v>3</v>
      </c>
    </row>
    <row r="2" spans="1:5" x14ac:dyDescent="0.25">
      <c r="A2" t="s">
        <v>4</v>
      </c>
      <c r="B2" t="s">
        <v>5</v>
      </c>
      <c r="C2" t="s">
        <v>64</v>
      </c>
      <c r="D2">
        <v>48</v>
      </c>
      <c r="E2">
        <v>120</v>
      </c>
    </row>
    <row r="3" spans="1:5" x14ac:dyDescent="0.25">
      <c r="A3" t="s">
        <v>6</v>
      </c>
      <c r="B3" t="s">
        <v>7</v>
      </c>
      <c r="C3" t="s">
        <v>65</v>
      </c>
      <c r="D3">
        <v>46</v>
      </c>
      <c r="E3">
        <v>115</v>
      </c>
    </row>
    <row r="4" spans="1:5" x14ac:dyDescent="0.25">
      <c r="A4" t="s">
        <v>8</v>
      </c>
      <c r="B4" t="s">
        <v>9</v>
      </c>
      <c r="C4" t="s">
        <v>66</v>
      </c>
      <c r="D4">
        <v>60</v>
      </c>
      <c r="E4">
        <v>150</v>
      </c>
    </row>
    <row r="5" spans="1:5" x14ac:dyDescent="0.25">
      <c r="A5" t="s">
        <v>10</v>
      </c>
      <c r="B5" t="s">
        <v>11</v>
      </c>
      <c r="C5" t="s">
        <v>67</v>
      </c>
      <c r="D5">
        <v>32</v>
      </c>
      <c r="E5">
        <v>110</v>
      </c>
    </row>
    <row r="6" spans="1:5" x14ac:dyDescent="0.25">
      <c r="A6" t="s">
        <v>12</v>
      </c>
      <c r="B6" t="s">
        <v>13</v>
      </c>
      <c r="C6" t="s">
        <v>68</v>
      </c>
      <c r="D6">
        <v>30</v>
      </c>
      <c r="E6">
        <v>110</v>
      </c>
    </row>
    <row r="7" spans="1:5" x14ac:dyDescent="0.25">
      <c r="A7" t="s">
        <v>14</v>
      </c>
      <c r="B7" t="s">
        <v>15</v>
      </c>
      <c r="C7" t="s">
        <v>64</v>
      </c>
      <c r="D7">
        <v>40</v>
      </c>
      <c r="E7">
        <v>100</v>
      </c>
    </row>
    <row r="8" spans="1:5" x14ac:dyDescent="0.25">
      <c r="A8" t="s">
        <v>16</v>
      </c>
      <c r="B8" t="s">
        <v>17</v>
      </c>
      <c r="C8" t="s">
        <v>65</v>
      </c>
      <c r="D8">
        <v>46</v>
      </c>
      <c r="E8">
        <v>110</v>
      </c>
    </row>
    <row r="9" spans="1:5" x14ac:dyDescent="0.25">
      <c r="A9" t="s">
        <v>18</v>
      </c>
      <c r="B9" t="s">
        <v>19</v>
      </c>
      <c r="C9" t="s">
        <v>66</v>
      </c>
      <c r="D9">
        <v>56</v>
      </c>
      <c r="E9">
        <v>120</v>
      </c>
    </row>
    <row r="10" spans="1:5" x14ac:dyDescent="0.25">
      <c r="A10" t="s">
        <v>20</v>
      </c>
      <c r="B10" t="s">
        <v>21</v>
      </c>
      <c r="C10" t="s">
        <v>67</v>
      </c>
      <c r="D10">
        <v>70</v>
      </c>
      <c r="E10">
        <v>150</v>
      </c>
    </row>
    <row r="11" spans="1:5" x14ac:dyDescent="0.25">
      <c r="A11" t="s">
        <v>22</v>
      </c>
      <c r="B11" t="s">
        <v>23</v>
      </c>
      <c r="C11" t="s">
        <v>68</v>
      </c>
      <c r="D11">
        <v>28</v>
      </c>
      <c r="E11">
        <v>100</v>
      </c>
    </row>
    <row r="12" spans="1:5" x14ac:dyDescent="0.25">
      <c r="A12" t="s">
        <v>24</v>
      </c>
      <c r="B12" t="s">
        <v>25</v>
      </c>
      <c r="C12" t="s">
        <v>64</v>
      </c>
      <c r="D12">
        <v>40</v>
      </c>
      <c r="E12">
        <v>100</v>
      </c>
    </row>
    <row r="13" spans="1:5" x14ac:dyDescent="0.25">
      <c r="A13" t="s">
        <v>26</v>
      </c>
      <c r="B13" t="s">
        <v>27</v>
      </c>
      <c r="C13" t="s">
        <v>65</v>
      </c>
      <c r="D13">
        <v>52</v>
      </c>
      <c r="E13">
        <v>120</v>
      </c>
    </row>
    <row r="14" spans="1:5" x14ac:dyDescent="0.25">
      <c r="A14" t="s">
        <v>28</v>
      </c>
      <c r="B14" t="s">
        <v>29</v>
      </c>
      <c r="C14" t="s">
        <v>66</v>
      </c>
      <c r="D14">
        <v>34</v>
      </c>
      <c r="E14">
        <v>105</v>
      </c>
    </row>
    <row r="15" spans="1:5" x14ac:dyDescent="0.25">
      <c r="A15" t="s">
        <v>30</v>
      </c>
      <c r="B15" t="s">
        <v>31</v>
      </c>
      <c r="C15" t="s">
        <v>67</v>
      </c>
      <c r="D15">
        <v>40</v>
      </c>
      <c r="E15">
        <v>105</v>
      </c>
    </row>
    <row r="16" spans="1:5" x14ac:dyDescent="0.25">
      <c r="A16" t="s">
        <v>32</v>
      </c>
      <c r="B16" t="s">
        <v>33</v>
      </c>
      <c r="C16" t="s">
        <v>68</v>
      </c>
      <c r="D16">
        <v>38</v>
      </c>
      <c r="E16">
        <v>105</v>
      </c>
    </row>
    <row r="17" spans="1:5" x14ac:dyDescent="0.25">
      <c r="A17" t="s">
        <v>34</v>
      </c>
      <c r="B17" t="s">
        <v>35</v>
      </c>
      <c r="C17" t="s">
        <v>64</v>
      </c>
      <c r="D17">
        <v>36</v>
      </c>
      <c r="E17">
        <v>105</v>
      </c>
    </row>
    <row r="18" spans="1:5" x14ac:dyDescent="0.25">
      <c r="A18" t="s">
        <v>36</v>
      </c>
      <c r="B18" t="s">
        <v>37</v>
      </c>
      <c r="C18" t="s">
        <v>65</v>
      </c>
      <c r="D18">
        <v>54</v>
      </c>
      <c r="E18">
        <v>115</v>
      </c>
    </row>
    <row r="19" spans="1:5" x14ac:dyDescent="0.25">
      <c r="A19" t="s">
        <v>38</v>
      </c>
      <c r="B19" t="s">
        <v>39</v>
      </c>
      <c r="C19" t="s">
        <v>66</v>
      </c>
      <c r="D19">
        <v>50</v>
      </c>
      <c r="E19">
        <v>115</v>
      </c>
    </row>
    <row r="20" spans="1:5" x14ac:dyDescent="0.25">
      <c r="A20" t="s">
        <v>40</v>
      </c>
      <c r="B20" t="s">
        <v>41</v>
      </c>
      <c r="C20" t="s">
        <v>67</v>
      </c>
      <c r="D20">
        <v>34</v>
      </c>
      <c r="E20">
        <v>100</v>
      </c>
    </row>
    <row r="21" spans="1:5" x14ac:dyDescent="0.25">
      <c r="A21" t="s">
        <v>42</v>
      </c>
      <c r="B21" t="s">
        <v>43</v>
      </c>
      <c r="C21" t="s">
        <v>68</v>
      </c>
      <c r="D21">
        <v>32</v>
      </c>
      <c r="E21">
        <v>100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A6943-AB97-4A1B-B709-7E1958C71D67}">
  <dimension ref="A1:V23"/>
  <sheetViews>
    <sheetView workbookViewId="0">
      <selection activeCell="B7" sqref="B7:B8"/>
    </sheetView>
  </sheetViews>
  <sheetFormatPr defaultRowHeight="15" x14ac:dyDescent="0.25"/>
  <cols>
    <col min="1" max="1" width="10.7109375" bestFit="1" customWidth="1"/>
    <col min="2" max="2" width="16.140625" bestFit="1" customWidth="1"/>
    <col min="3" max="3" width="9.7109375" bestFit="1" customWidth="1"/>
    <col min="6" max="6" width="16.140625" bestFit="1" customWidth="1"/>
    <col min="7" max="7" width="11.140625" bestFit="1" customWidth="1"/>
    <col min="10" max="10" width="8.7109375" bestFit="1" customWidth="1"/>
    <col min="12" max="12" width="13.42578125" bestFit="1" customWidth="1"/>
    <col min="13" max="13" width="15.5703125" bestFit="1" customWidth="1"/>
    <col min="14" max="14" width="10.140625" customWidth="1"/>
    <col min="18" max="18" width="14.140625" bestFit="1" customWidth="1"/>
    <col min="19" max="19" width="15.5703125" bestFit="1" customWidth="1"/>
    <col min="20" max="20" width="8.140625" bestFit="1" customWidth="1"/>
    <col min="21" max="21" width="15.5703125" bestFit="1" customWidth="1"/>
    <col min="22" max="22" width="21.7109375" bestFit="1" customWidth="1"/>
    <col min="24" max="24" width="13.7109375" bestFit="1" customWidth="1"/>
    <col min="25" max="25" width="8.28515625" customWidth="1"/>
  </cols>
  <sheetData>
    <row r="1" spans="1:22" x14ac:dyDescent="0.25">
      <c r="B1" s="3" t="s">
        <v>45</v>
      </c>
      <c r="C1" t="s" vm="1">
        <v>47</v>
      </c>
      <c r="F1" s="3" t="s">
        <v>45</v>
      </c>
      <c r="G1" t="s" vm="2">
        <v>48</v>
      </c>
    </row>
    <row r="3" spans="1:22" x14ac:dyDescent="0.25">
      <c r="B3" t="s">
        <v>70</v>
      </c>
      <c r="F3" t="s">
        <v>48</v>
      </c>
      <c r="J3" t="s">
        <v>46</v>
      </c>
      <c r="L3" s="3" t="s">
        <v>50</v>
      </c>
      <c r="M3" t="s">
        <v>49</v>
      </c>
      <c r="R3" s="3" t="s">
        <v>0</v>
      </c>
      <c r="S3" s="3" t="s">
        <v>1</v>
      </c>
      <c r="T3" s="3" t="s">
        <v>63</v>
      </c>
      <c r="U3" t="s">
        <v>49</v>
      </c>
      <c r="V3" t="s">
        <v>69</v>
      </c>
    </row>
    <row r="4" spans="1:22" x14ac:dyDescent="0.25">
      <c r="B4" s="2">
        <v>4540</v>
      </c>
      <c r="F4" s="9">
        <v>-2827</v>
      </c>
      <c r="J4" s="2">
        <v>1713</v>
      </c>
      <c r="L4" s="4" t="s">
        <v>51</v>
      </c>
      <c r="M4" s="2">
        <v>1275</v>
      </c>
      <c r="N4" s="2"/>
      <c r="O4" t="s">
        <v>72</v>
      </c>
      <c r="P4">
        <f>M4</f>
        <v>1275</v>
      </c>
      <c r="R4" t="s">
        <v>14</v>
      </c>
      <c r="S4" t="s">
        <v>15</v>
      </c>
      <c r="T4" t="s">
        <v>64</v>
      </c>
      <c r="U4" s="2">
        <v>10</v>
      </c>
      <c r="V4" s="2">
        <v>40</v>
      </c>
    </row>
    <row r="5" spans="1:22" x14ac:dyDescent="0.25">
      <c r="L5" s="4" t="s">
        <v>52</v>
      </c>
      <c r="M5" s="2">
        <v>2575</v>
      </c>
      <c r="N5" s="2"/>
      <c r="O5" t="s">
        <v>73</v>
      </c>
      <c r="P5">
        <f t="shared" ref="P5:P15" si="0">M5</f>
        <v>2575</v>
      </c>
      <c r="R5" t="s">
        <v>10</v>
      </c>
      <c r="S5" t="s">
        <v>11</v>
      </c>
      <c r="T5" t="s">
        <v>67</v>
      </c>
      <c r="U5" s="2">
        <v>13</v>
      </c>
      <c r="V5" s="2">
        <v>32</v>
      </c>
    </row>
    <row r="6" spans="1:22" x14ac:dyDescent="0.25">
      <c r="L6" s="4" t="s">
        <v>53</v>
      </c>
      <c r="M6" s="2">
        <v>2124</v>
      </c>
      <c r="N6" s="2"/>
      <c r="O6" t="s">
        <v>74</v>
      </c>
      <c r="P6">
        <f t="shared" si="0"/>
        <v>2124</v>
      </c>
      <c r="R6" t="s">
        <v>16</v>
      </c>
      <c r="S6" t="s">
        <v>17</v>
      </c>
      <c r="T6" t="s">
        <v>65</v>
      </c>
      <c r="U6" s="2">
        <v>28</v>
      </c>
      <c r="V6" s="2">
        <v>46</v>
      </c>
    </row>
    <row r="7" spans="1:22" x14ac:dyDescent="0.25">
      <c r="A7" t="s">
        <v>71</v>
      </c>
      <c r="B7" s="5">
        <f>1-B8</f>
        <v>0.62268722466960358</v>
      </c>
      <c r="L7" s="4" t="s">
        <v>54</v>
      </c>
      <c r="M7" s="2">
        <v>1801</v>
      </c>
      <c r="N7" s="2"/>
      <c r="O7" t="s">
        <v>75</v>
      </c>
      <c r="P7">
        <f t="shared" si="0"/>
        <v>1801</v>
      </c>
      <c r="R7" t="s">
        <v>42</v>
      </c>
      <c r="S7" t="s">
        <v>43</v>
      </c>
      <c r="T7" t="s">
        <v>68</v>
      </c>
      <c r="U7" s="2">
        <v>28</v>
      </c>
      <c r="V7" s="2">
        <v>32</v>
      </c>
    </row>
    <row r="8" spans="1:22" x14ac:dyDescent="0.25">
      <c r="B8" s="6">
        <f>J4/B4</f>
        <v>0.37731277533039648</v>
      </c>
      <c r="L8" s="4" t="s">
        <v>55</v>
      </c>
      <c r="M8" s="2">
        <v>1526</v>
      </c>
      <c r="N8" s="2"/>
      <c r="O8" t="s">
        <v>55</v>
      </c>
      <c r="P8">
        <f t="shared" si="0"/>
        <v>1526</v>
      </c>
      <c r="R8" t="s">
        <v>4</v>
      </c>
      <c r="S8" t="s">
        <v>5</v>
      </c>
      <c r="T8" t="s">
        <v>64</v>
      </c>
      <c r="U8" s="2">
        <v>42</v>
      </c>
      <c r="V8" s="2">
        <v>48</v>
      </c>
    </row>
    <row r="9" spans="1:22" x14ac:dyDescent="0.25">
      <c r="L9" s="4" t="s">
        <v>56</v>
      </c>
      <c r="M9" s="2">
        <v>1797</v>
      </c>
      <c r="N9" s="2"/>
      <c r="O9" t="s">
        <v>76</v>
      </c>
      <c r="P9">
        <f t="shared" si="0"/>
        <v>1797</v>
      </c>
      <c r="R9" t="s">
        <v>30</v>
      </c>
      <c r="S9" t="s">
        <v>31</v>
      </c>
      <c r="T9" t="s">
        <v>67</v>
      </c>
      <c r="U9" s="2">
        <v>45</v>
      </c>
      <c r="V9" s="2">
        <v>40</v>
      </c>
    </row>
    <row r="10" spans="1:22" x14ac:dyDescent="0.25">
      <c r="L10" s="4" t="s">
        <v>57</v>
      </c>
      <c r="M10" s="2">
        <v>1839</v>
      </c>
      <c r="N10" s="2"/>
      <c r="O10" t="s">
        <v>77</v>
      </c>
      <c r="P10">
        <f t="shared" si="0"/>
        <v>1839</v>
      </c>
      <c r="R10" t="s">
        <v>22</v>
      </c>
      <c r="S10" t="s">
        <v>23</v>
      </c>
      <c r="T10" t="s">
        <v>68</v>
      </c>
      <c r="U10" s="2">
        <v>49</v>
      </c>
      <c r="V10" s="2">
        <v>28</v>
      </c>
    </row>
    <row r="11" spans="1:22" x14ac:dyDescent="0.25">
      <c r="L11" s="4" t="s">
        <v>58</v>
      </c>
      <c r="M11" s="2">
        <v>2141</v>
      </c>
      <c r="N11" s="2"/>
      <c r="O11" t="s">
        <v>78</v>
      </c>
      <c r="P11">
        <f t="shared" si="0"/>
        <v>2141</v>
      </c>
      <c r="R11" t="s">
        <v>26</v>
      </c>
      <c r="S11" t="s">
        <v>27</v>
      </c>
      <c r="T11" t="s">
        <v>65</v>
      </c>
      <c r="U11" s="2">
        <v>63</v>
      </c>
      <c r="V11" s="2">
        <v>52</v>
      </c>
    </row>
    <row r="12" spans="1:22" x14ac:dyDescent="0.25">
      <c r="L12" s="4" t="s">
        <v>59</v>
      </c>
      <c r="M12" s="2">
        <v>2020</v>
      </c>
      <c r="N12" s="2"/>
      <c r="O12" t="s">
        <v>79</v>
      </c>
      <c r="P12">
        <f t="shared" si="0"/>
        <v>2020</v>
      </c>
      <c r="R12" t="s">
        <v>8</v>
      </c>
      <c r="S12" t="s">
        <v>9</v>
      </c>
      <c r="T12" t="s">
        <v>66</v>
      </c>
      <c r="U12" s="2">
        <v>75</v>
      </c>
      <c r="V12" s="2">
        <v>60</v>
      </c>
    </row>
    <row r="13" spans="1:22" x14ac:dyDescent="0.25">
      <c r="L13" s="4" t="s">
        <v>60</v>
      </c>
      <c r="M13" s="2">
        <v>2019</v>
      </c>
      <c r="N13" s="2"/>
      <c r="O13" t="s">
        <v>80</v>
      </c>
      <c r="P13">
        <f t="shared" si="0"/>
        <v>2019</v>
      </c>
      <c r="R13" t="s">
        <v>36</v>
      </c>
      <c r="S13" t="s">
        <v>37</v>
      </c>
      <c r="T13" t="s">
        <v>65</v>
      </c>
      <c r="U13" s="2">
        <v>88</v>
      </c>
      <c r="V13" s="2">
        <v>54</v>
      </c>
    </row>
    <row r="14" spans="1:22" x14ac:dyDescent="0.25">
      <c r="L14" s="4" t="s">
        <v>61</v>
      </c>
      <c r="M14" s="2">
        <v>2034</v>
      </c>
      <c r="N14" s="2"/>
      <c r="O14" t="s">
        <v>81</v>
      </c>
      <c r="P14">
        <f t="shared" si="0"/>
        <v>2034</v>
      </c>
      <c r="R14" t="s">
        <v>12</v>
      </c>
      <c r="S14" t="s">
        <v>13</v>
      </c>
      <c r="T14" t="s">
        <v>68</v>
      </c>
      <c r="U14" s="2">
        <v>98</v>
      </c>
      <c r="V14" s="2">
        <v>30</v>
      </c>
    </row>
    <row r="15" spans="1:22" x14ac:dyDescent="0.25">
      <c r="L15" s="4" t="s">
        <v>62</v>
      </c>
      <c r="M15" s="2">
        <v>1713</v>
      </c>
      <c r="N15" s="2"/>
      <c r="O15" t="s">
        <v>82</v>
      </c>
      <c r="P15">
        <f t="shared" si="0"/>
        <v>1713</v>
      </c>
      <c r="R15" t="s">
        <v>20</v>
      </c>
      <c r="S15" t="s">
        <v>21</v>
      </c>
      <c r="T15" t="s">
        <v>67</v>
      </c>
      <c r="U15" s="2">
        <v>104</v>
      </c>
      <c r="V15" s="2">
        <v>70</v>
      </c>
    </row>
    <row r="16" spans="1:22" x14ac:dyDescent="0.25">
      <c r="N16" s="2"/>
      <c r="R16" t="s">
        <v>34</v>
      </c>
      <c r="S16" t="s">
        <v>35</v>
      </c>
      <c r="T16" t="s">
        <v>64</v>
      </c>
      <c r="U16" s="2">
        <v>125</v>
      </c>
      <c r="V16" s="2">
        <v>36</v>
      </c>
    </row>
    <row r="17" spans="18:22" x14ac:dyDescent="0.25">
      <c r="R17" t="s">
        <v>40</v>
      </c>
      <c r="S17" t="s">
        <v>41</v>
      </c>
      <c r="T17" t="s">
        <v>67</v>
      </c>
      <c r="U17" s="2">
        <v>125</v>
      </c>
      <c r="V17" s="2">
        <v>34</v>
      </c>
    </row>
    <row r="18" spans="18:22" x14ac:dyDescent="0.25">
      <c r="R18" t="s">
        <v>24</v>
      </c>
      <c r="S18" t="s">
        <v>25</v>
      </c>
      <c r="T18" t="s">
        <v>64</v>
      </c>
      <c r="U18" s="2">
        <v>128</v>
      </c>
      <c r="V18" s="2">
        <v>40</v>
      </c>
    </row>
    <row r="19" spans="18:22" x14ac:dyDescent="0.25">
      <c r="R19" t="s">
        <v>32</v>
      </c>
      <c r="S19" t="s">
        <v>33</v>
      </c>
      <c r="T19" t="s">
        <v>68</v>
      </c>
      <c r="U19" s="2">
        <v>130</v>
      </c>
      <c r="V19" s="2">
        <v>38</v>
      </c>
    </row>
    <row r="20" spans="18:22" x14ac:dyDescent="0.25">
      <c r="R20" t="s">
        <v>6</v>
      </c>
      <c r="S20" t="s">
        <v>7</v>
      </c>
      <c r="T20" t="s">
        <v>65</v>
      </c>
      <c r="U20" s="2">
        <v>130</v>
      </c>
      <c r="V20" s="2">
        <v>46</v>
      </c>
    </row>
    <row r="21" spans="18:22" x14ac:dyDescent="0.25">
      <c r="R21" t="s">
        <v>28</v>
      </c>
      <c r="S21" t="s">
        <v>29</v>
      </c>
      <c r="T21" t="s">
        <v>66</v>
      </c>
      <c r="U21" s="2">
        <v>132</v>
      </c>
      <c r="V21" s="2">
        <v>34</v>
      </c>
    </row>
    <row r="22" spans="18:22" x14ac:dyDescent="0.25">
      <c r="R22" t="s">
        <v>38</v>
      </c>
      <c r="S22" t="s">
        <v>39</v>
      </c>
      <c r="T22" t="s">
        <v>66</v>
      </c>
      <c r="U22" s="2">
        <v>134</v>
      </c>
      <c r="V22" s="2">
        <v>50</v>
      </c>
    </row>
    <row r="23" spans="18:22" x14ac:dyDescent="0.25">
      <c r="R23" t="s">
        <v>18</v>
      </c>
      <c r="S23" t="s">
        <v>19</v>
      </c>
      <c r="T23" t="s">
        <v>66</v>
      </c>
      <c r="U23" s="2">
        <v>166</v>
      </c>
      <c r="V23" s="2">
        <v>56</v>
      </c>
    </row>
  </sheetData>
  <phoneticPr fontId="3" type="noConversion"/>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B537F-7EEF-4C82-AF06-CF4408A3F16A}">
  <dimension ref="A1:D103"/>
  <sheetViews>
    <sheetView workbookViewId="0">
      <selection activeCell="D2" sqref="D2:D103"/>
    </sheetView>
  </sheetViews>
  <sheetFormatPr defaultColWidth="8.7109375" defaultRowHeight="15" x14ac:dyDescent="0.25"/>
  <cols>
    <col min="1" max="1" width="12.7109375" customWidth="1"/>
    <col min="2" max="2" width="13.7109375" customWidth="1"/>
    <col min="3" max="3" width="16.85546875" customWidth="1"/>
    <col min="4" max="4" width="13.140625" customWidth="1"/>
  </cols>
  <sheetData>
    <row r="1" spans="1:4" x14ac:dyDescent="0.25">
      <c r="A1" t="s">
        <v>44</v>
      </c>
      <c r="B1" t="s">
        <v>0</v>
      </c>
      <c r="C1" t="s">
        <v>45</v>
      </c>
      <c r="D1" t="s">
        <v>46</v>
      </c>
    </row>
    <row r="2" spans="1:4" x14ac:dyDescent="0.25">
      <c r="A2" s="1">
        <v>45659</v>
      </c>
      <c r="B2" t="s">
        <v>4</v>
      </c>
      <c r="C2" t="s">
        <v>47</v>
      </c>
      <c r="D2">
        <v>140</v>
      </c>
    </row>
    <row r="3" spans="1:4" x14ac:dyDescent="0.25">
      <c r="A3" s="1">
        <v>45661</v>
      </c>
      <c r="B3" t="s">
        <v>6</v>
      </c>
      <c r="C3" t="s">
        <v>47</v>
      </c>
      <c r="D3">
        <v>135</v>
      </c>
    </row>
    <row r="4" spans="1:4" x14ac:dyDescent="0.25">
      <c r="A4" s="1">
        <v>45665</v>
      </c>
      <c r="B4" t="s">
        <v>8</v>
      </c>
      <c r="C4" t="s">
        <v>47</v>
      </c>
      <c r="D4">
        <v>170</v>
      </c>
    </row>
    <row r="5" spans="1:4" x14ac:dyDescent="0.25">
      <c r="A5" s="1">
        <v>45667</v>
      </c>
      <c r="B5" t="s">
        <v>10</v>
      </c>
      <c r="C5" t="s">
        <v>47</v>
      </c>
      <c r="D5">
        <v>135</v>
      </c>
    </row>
    <row r="6" spans="1:4" x14ac:dyDescent="0.25">
      <c r="A6" s="1">
        <v>45668</v>
      </c>
      <c r="B6" t="s">
        <v>12</v>
      </c>
      <c r="C6" t="s">
        <v>47</v>
      </c>
      <c r="D6">
        <v>135</v>
      </c>
    </row>
    <row r="7" spans="1:4" x14ac:dyDescent="0.25">
      <c r="A7" s="1">
        <v>45669</v>
      </c>
      <c r="B7" t="s">
        <v>14</v>
      </c>
      <c r="C7" t="s">
        <v>47</v>
      </c>
      <c r="D7">
        <v>120</v>
      </c>
    </row>
    <row r="8" spans="1:4" x14ac:dyDescent="0.25">
      <c r="A8" s="1">
        <v>45683</v>
      </c>
      <c r="B8" t="s">
        <v>16</v>
      </c>
      <c r="C8" t="s">
        <v>47</v>
      </c>
      <c r="D8">
        <v>130</v>
      </c>
    </row>
    <row r="9" spans="1:4" x14ac:dyDescent="0.25">
      <c r="A9" s="1">
        <v>45686</v>
      </c>
      <c r="B9" t="s">
        <v>18</v>
      </c>
      <c r="C9" t="s">
        <v>47</v>
      </c>
      <c r="D9">
        <v>140</v>
      </c>
    </row>
    <row r="10" spans="1:4" x14ac:dyDescent="0.25">
      <c r="A10" s="1">
        <v>45686</v>
      </c>
      <c r="B10" t="s">
        <v>20</v>
      </c>
      <c r="C10" t="s">
        <v>47</v>
      </c>
      <c r="D10">
        <v>170</v>
      </c>
    </row>
    <row r="11" spans="1:4" x14ac:dyDescent="0.25">
      <c r="A11" s="1">
        <v>45694</v>
      </c>
      <c r="B11" t="s">
        <v>22</v>
      </c>
      <c r="C11" t="s">
        <v>47</v>
      </c>
      <c r="D11">
        <v>120</v>
      </c>
    </row>
    <row r="12" spans="1:4" x14ac:dyDescent="0.25">
      <c r="A12" s="1">
        <v>45697</v>
      </c>
      <c r="B12" t="s">
        <v>24</v>
      </c>
      <c r="C12" t="s">
        <v>47</v>
      </c>
      <c r="D12">
        <v>120</v>
      </c>
    </row>
    <row r="13" spans="1:4" x14ac:dyDescent="0.25">
      <c r="A13" s="1">
        <v>45697</v>
      </c>
      <c r="B13" t="s">
        <v>26</v>
      </c>
      <c r="C13" t="s">
        <v>47</v>
      </c>
      <c r="D13">
        <v>140</v>
      </c>
    </row>
    <row r="14" spans="1:4" x14ac:dyDescent="0.25">
      <c r="A14" s="1">
        <v>45698</v>
      </c>
      <c r="B14" t="s">
        <v>28</v>
      </c>
      <c r="C14" t="s">
        <v>47</v>
      </c>
      <c r="D14">
        <v>120</v>
      </c>
    </row>
    <row r="15" spans="1:4" x14ac:dyDescent="0.25">
      <c r="A15" s="1">
        <v>45698</v>
      </c>
      <c r="B15" t="s">
        <v>30</v>
      </c>
      <c r="C15" t="s">
        <v>47</v>
      </c>
      <c r="D15">
        <v>120</v>
      </c>
    </row>
    <row r="16" spans="1:4" x14ac:dyDescent="0.25">
      <c r="A16" s="1">
        <v>45701</v>
      </c>
      <c r="B16" t="s">
        <v>32</v>
      </c>
      <c r="C16" t="s">
        <v>47</v>
      </c>
      <c r="D16">
        <v>120</v>
      </c>
    </row>
    <row r="17" spans="1:4" x14ac:dyDescent="0.25">
      <c r="A17" s="1">
        <v>45701</v>
      </c>
      <c r="B17" t="s">
        <v>34</v>
      </c>
      <c r="C17" t="s">
        <v>47</v>
      </c>
      <c r="D17">
        <v>120</v>
      </c>
    </row>
    <row r="18" spans="1:4" x14ac:dyDescent="0.25">
      <c r="A18" s="1">
        <v>45702</v>
      </c>
      <c r="B18" t="s">
        <v>36</v>
      </c>
      <c r="C18" t="s">
        <v>47</v>
      </c>
      <c r="D18">
        <v>135</v>
      </c>
    </row>
    <row r="19" spans="1:4" x14ac:dyDescent="0.25">
      <c r="A19" s="1">
        <v>45706</v>
      </c>
      <c r="B19" t="s">
        <v>38</v>
      </c>
      <c r="C19" t="s">
        <v>47</v>
      </c>
      <c r="D19">
        <v>135</v>
      </c>
    </row>
    <row r="20" spans="1:4" x14ac:dyDescent="0.25">
      <c r="A20" s="1">
        <v>45706</v>
      </c>
      <c r="B20" t="s">
        <v>40</v>
      </c>
      <c r="C20" t="s">
        <v>47</v>
      </c>
      <c r="D20">
        <v>120</v>
      </c>
    </row>
    <row r="21" spans="1:4" x14ac:dyDescent="0.25">
      <c r="A21" s="1">
        <v>45709</v>
      </c>
      <c r="B21" t="s">
        <v>42</v>
      </c>
      <c r="C21" t="s">
        <v>47</v>
      </c>
      <c r="D21">
        <v>120</v>
      </c>
    </row>
    <row r="22" spans="1:4" x14ac:dyDescent="0.25">
      <c r="A22" s="1">
        <v>45710</v>
      </c>
      <c r="B22" t="s">
        <v>4</v>
      </c>
      <c r="C22" t="s">
        <v>48</v>
      </c>
      <c r="D22">
        <v>-70</v>
      </c>
    </row>
    <row r="23" spans="1:4" x14ac:dyDescent="0.25">
      <c r="A23" s="1">
        <v>45718</v>
      </c>
      <c r="B23" t="s">
        <v>6</v>
      </c>
      <c r="C23" t="s">
        <v>48</v>
      </c>
      <c r="D23">
        <v>-90</v>
      </c>
    </row>
    <row r="24" spans="1:4" x14ac:dyDescent="0.25">
      <c r="A24" s="1">
        <v>45726</v>
      </c>
      <c r="B24" t="s">
        <v>8</v>
      </c>
      <c r="C24" t="s">
        <v>48</v>
      </c>
      <c r="D24">
        <v>-75</v>
      </c>
    </row>
    <row r="25" spans="1:4" x14ac:dyDescent="0.25">
      <c r="A25" s="1">
        <v>45729</v>
      </c>
      <c r="B25" t="s">
        <v>10</v>
      </c>
      <c r="C25" t="s">
        <v>48</v>
      </c>
      <c r="D25">
        <v>-55</v>
      </c>
    </row>
    <row r="26" spans="1:4" x14ac:dyDescent="0.25">
      <c r="A26" s="1">
        <v>45732</v>
      </c>
      <c r="B26" t="s">
        <v>12</v>
      </c>
      <c r="C26" t="s">
        <v>48</v>
      </c>
      <c r="D26">
        <v>-60</v>
      </c>
    </row>
    <row r="27" spans="1:4" x14ac:dyDescent="0.25">
      <c r="A27" s="1">
        <v>45733</v>
      </c>
      <c r="B27" t="s">
        <v>6</v>
      </c>
      <c r="C27" t="s">
        <v>47</v>
      </c>
      <c r="D27">
        <v>115</v>
      </c>
    </row>
    <row r="28" spans="1:4" x14ac:dyDescent="0.25">
      <c r="A28" s="1">
        <v>45733</v>
      </c>
      <c r="B28" t="s">
        <v>14</v>
      </c>
      <c r="C28" t="s">
        <v>48</v>
      </c>
      <c r="D28">
        <v>-29</v>
      </c>
    </row>
    <row r="29" spans="1:4" x14ac:dyDescent="0.25">
      <c r="A29" s="1">
        <v>45735</v>
      </c>
      <c r="B29" t="s">
        <v>6</v>
      </c>
      <c r="C29" t="s">
        <v>48</v>
      </c>
      <c r="D29">
        <v>-70</v>
      </c>
    </row>
    <row r="30" spans="1:4" x14ac:dyDescent="0.25">
      <c r="A30" s="1">
        <v>45741</v>
      </c>
      <c r="B30" t="s">
        <v>18</v>
      </c>
      <c r="C30" t="s">
        <v>48</v>
      </c>
      <c r="D30">
        <v>-77</v>
      </c>
    </row>
    <row r="31" spans="1:4" x14ac:dyDescent="0.25">
      <c r="A31" s="1">
        <v>45745</v>
      </c>
      <c r="B31" t="s">
        <v>20</v>
      </c>
      <c r="C31" t="s">
        <v>48</v>
      </c>
      <c r="D31">
        <v>-61</v>
      </c>
    </row>
    <row r="32" spans="1:4" x14ac:dyDescent="0.25">
      <c r="A32" s="1">
        <v>45745</v>
      </c>
      <c r="B32" t="s">
        <v>6</v>
      </c>
      <c r="C32" t="s">
        <v>48</v>
      </c>
      <c r="D32">
        <v>-49</v>
      </c>
    </row>
    <row r="33" spans="1:4" x14ac:dyDescent="0.25">
      <c r="A33" s="1">
        <v>45748</v>
      </c>
      <c r="B33" t="s">
        <v>24</v>
      </c>
      <c r="C33" t="s">
        <v>48</v>
      </c>
      <c r="D33">
        <v>-49</v>
      </c>
    </row>
    <row r="34" spans="1:4" x14ac:dyDescent="0.25">
      <c r="A34" s="1">
        <v>45752</v>
      </c>
      <c r="B34" t="s">
        <v>26</v>
      </c>
      <c r="C34" t="s">
        <v>48</v>
      </c>
      <c r="D34">
        <v>-77</v>
      </c>
    </row>
    <row r="35" spans="1:4" x14ac:dyDescent="0.25">
      <c r="A35" s="1">
        <v>45759</v>
      </c>
      <c r="B35" t="s">
        <v>28</v>
      </c>
      <c r="C35" t="s">
        <v>48</v>
      </c>
      <c r="D35">
        <v>-54</v>
      </c>
    </row>
    <row r="36" spans="1:4" x14ac:dyDescent="0.25">
      <c r="A36" s="1">
        <v>45769</v>
      </c>
      <c r="B36" t="s">
        <v>30</v>
      </c>
      <c r="C36" t="s">
        <v>48</v>
      </c>
      <c r="D36">
        <v>-75</v>
      </c>
    </row>
    <row r="37" spans="1:4" x14ac:dyDescent="0.25">
      <c r="A37" s="1">
        <v>45772</v>
      </c>
      <c r="B37" t="s">
        <v>32</v>
      </c>
      <c r="C37" t="s">
        <v>48</v>
      </c>
      <c r="D37">
        <v>-25</v>
      </c>
    </row>
    <row r="38" spans="1:4" x14ac:dyDescent="0.25">
      <c r="A38" s="1">
        <v>45771</v>
      </c>
      <c r="B38" t="s">
        <v>20</v>
      </c>
      <c r="C38" t="s">
        <v>48</v>
      </c>
      <c r="D38">
        <v>-45</v>
      </c>
    </row>
    <row r="39" spans="1:4" x14ac:dyDescent="0.25">
      <c r="A39" s="1">
        <v>45772</v>
      </c>
      <c r="B39" t="s">
        <v>6</v>
      </c>
      <c r="C39" t="s">
        <v>47</v>
      </c>
      <c r="D39">
        <v>115</v>
      </c>
    </row>
    <row r="40" spans="1:4" x14ac:dyDescent="0.25">
      <c r="A40" s="1">
        <v>45773</v>
      </c>
      <c r="B40" t="s">
        <v>36</v>
      </c>
      <c r="C40" t="s">
        <v>48</v>
      </c>
      <c r="D40">
        <v>-47</v>
      </c>
    </row>
    <row r="41" spans="1:4" x14ac:dyDescent="0.25">
      <c r="A41" s="1">
        <v>45775</v>
      </c>
      <c r="B41" t="s">
        <v>38</v>
      </c>
      <c r="C41" t="s">
        <v>48</v>
      </c>
      <c r="D41">
        <v>-66</v>
      </c>
    </row>
    <row r="42" spans="1:4" x14ac:dyDescent="0.25">
      <c r="A42" s="1">
        <v>45778</v>
      </c>
      <c r="B42" t="s">
        <v>40</v>
      </c>
      <c r="C42" t="s">
        <v>48</v>
      </c>
      <c r="D42">
        <v>-45</v>
      </c>
    </row>
    <row r="43" spans="1:4" x14ac:dyDescent="0.25">
      <c r="A43" s="1">
        <v>45784</v>
      </c>
      <c r="B43" t="s">
        <v>42</v>
      </c>
      <c r="C43" t="s">
        <v>48</v>
      </c>
      <c r="D43">
        <v>-70</v>
      </c>
    </row>
    <row r="44" spans="1:4" x14ac:dyDescent="0.25">
      <c r="A44" s="1">
        <v>45791</v>
      </c>
      <c r="B44" t="s">
        <v>8</v>
      </c>
      <c r="C44" t="s">
        <v>48</v>
      </c>
      <c r="D44">
        <v>-20</v>
      </c>
    </row>
    <row r="45" spans="1:4" x14ac:dyDescent="0.25">
      <c r="A45" s="1">
        <v>45793</v>
      </c>
      <c r="B45" t="s">
        <v>20</v>
      </c>
      <c r="C45" t="s">
        <v>47</v>
      </c>
      <c r="D45">
        <v>150</v>
      </c>
    </row>
    <row r="46" spans="1:4" x14ac:dyDescent="0.25">
      <c r="A46" s="1">
        <v>45795</v>
      </c>
      <c r="B46" t="s">
        <v>4</v>
      </c>
      <c r="C46" t="s">
        <v>48</v>
      </c>
      <c r="D46">
        <v>-50</v>
      </c>
    </row>
    <row r="47" spans="1:4" x14ac:dyDescent="0.25">
      <c r="A47" s="1">
        <v>45795</v>
      </c>
      <c r="B47" t="s">
        <v>12</v>
      </c>
      <c r="C47" t="s">
        <v>48</v>
      </c>
      <c r="D47">
        <v>-70</v>
      </c>
    </row>
    <row r="48" spans="1:4" x14ac:dyDescent="0.25">
      <c r="A48" s="1">
        <v>45802</v>
      </c>
      <c r="B48" t="s">
        <v>32</v>
      </c>
      <c r="C48" t="s">
        <v>48</v>
      </c>
      <c r="D48">
        <v>-70</v>
      </c>
    </row>
    <row r="49" spans="1:4" x14ac:dyDescent="0.25">
      <c r="A49" s="1">
        <v>45803</v>
      </c>
      <c r="B49" t="s">
        <v>22</v>
      </c>
      <c r="C49" t="s">
        <v>48</v>
      </c>
      <c r="D49">
        <v>-100</v>
      </c>
    </row>
    <row r="50" spans="1:4" x14ac:dyDescent="0.25">
      <c r="A50" s="1">
        <v>45819</v>
      </c>
      <c r="B50" t="s">
        <v>4</v>
      </c>
      <c r="C50" t="s">
        <v>47</v>
      </c>
      <c r="D50">
        <v>120</v>
      </c>
    </row>
    <row r="51" spans="1:4" x14ac:dyDescent="0.25">
      <c r="A51" s="1">
        <v>45819</v>
      </c>
      <c r="B51" t="s">
        <v>12</v>
      </c>
      <c r="C51" t="s">
        <v>47</v>
      </c>
      <c r="D51">
        <v>110</v>
      </c>
    </row>
    <row r="52" spans="1:4" x14ac:dyDescent="0.25">
      <c r="A52" s="1">
        <v>45825</v>
      </c>
      <c r="B52" t="s">
        <v>32</v>
      </c>
      <c r="C52" t="s">
        <v>47</v>
      </c>
      <c r="D52">
        <v>105</v>
      </c>
    </row>
    <row r="53" spans="1:4" x14ac:dyDescent="0.25">
      <c r="A53" s="1">
        <v>45827</v>
      </c>
      <c r="B53" t="s">
        <v>22</v>
      </c>
      <c r="C53" t="s">
        <v>47</v>
      </c>
      <c r="D53">
        <v>100</v>
      </c>
    </row>
    <row r="54" spans="1:4" x14ac:dyDescent="0.25">
      <c r="A54" s="1">
        <v>45830</v>
      </c>
      <c r="B54" t="s">
        <v>16</v>
      </c>
      <c r="C54" t="s">
        <v>48</v>
      </c>
      <c r="D54">
        <v>-70</v>
      </c>
    </row>
    <row r="55" spans="1:4" x14ac:dyDescent="0.25">
      <c r="A55" s="1">
        <v>45833</v>
      </c>
      <c r="B55" t="s">
        <v>18</v>
      </c>
      <c r="C55" t="s">
        <v>48</v>
      </c>
      <c r="D55">
        <v>-17</v>
      </c>
    </row>
    <row r="56" spans="1:4" x14ac:dyDescent="0.25">
      <c r="A56" s="1">
        <v>45832</v>
      </c>
      <c r="B56" t="s">
        <v>40</v>
      </c>
      <c r="C56" t="s">
        <v>48</v>
      </c>
      <c r="D56">
        <v>-25</v>
      </c>
    </row>
    <row r="57" spans="1:4" x14ac:dyDescent="0.25">
      <c r="A57" s="1">
        <v>45833</v>
      </c>
      <c r="B57" t="s">
        <v>42</v>
      </c>
      <c r="C57" t="s">
        <v>48</v>
      </c>
      <c r="D57">
        <v>-32</v>
      </c>
    </row>
    <row r="58" spans="1:4" x14ac:dyDescent="0.25">
      <c r="A58" s="1">
        <v>45838</v>
      </c>
      <c r="B58" t="s">
        <v>16</v>
      </c>
      <c r="C58" t="s">
        <v>48</v>
      </c>
      <c r="D58">
        <v>-20</v>
      </c>
    </row>
    <row r="59" spans="1:4" x14ac:dyDescent="0.25">
      <c r="A59" s="1">
        <v>45839</v>
      </c>
      <c r="B59" t="s">
        <v>34</v>
      </c>
      <c r="C59" t="s">
        <v>48</v>
      </c>
      <c r="D59">
        <v>-14</v>
      </c>
    </row>
    <row r="60" spans="1:4" x14ac:dyDescent="0.25">
      <c r="A60" s="1">
        <v>45841</v>
      </c>
      <c r="B60" t="s">
        <v>28</v>
      </c>
      <c r="C60" t="s">
        <v>48</v>
      </c>
      <c r="D60">
        <v>-20</v>
      </c>
    </row>
    <row r="61" spans="1:4" x14ac:dyDescent="0.25">
      <c r="A61" s="1">
        <v>45849</v>
      </c>
      <c r="B61" t="s">
        <v>18</v>
      </c>
      <c r="C61" t="s">
        <v>47</v>
      </c>
      <c r="D61">
        <v>120</v>
      </c>
    </row>
    <row r="62" spans="1:4" x14ac:dyDescent="0.25">
      <c r="A62" s="1">
        <v>45849</v>
      </c>
      <c r="B62" t="s">
        <v>28</v>
      </c>
      <c r="C62" t="s">
        <v>48</v>
      </c>
      <c r="D62">
        <v>-19</v>
      </c>
    </row>
    <row r="63" spans="1:4" x14ac:dyDescent="0.25">
      <c r="A63" s="1">
        <v>45856</v>
      </c>
      <c r="B63" t="s">
        <v>40</v>
      </c>
      <c r="C63" t="s">
        <v>48</v>
      </c>
      <c r="D63">
        <v>-25</v>
      </c>
    </row>
    <row r="64" spans="1:4" x14ac:dyDescent="0.25">
      <c r="A64" s="1">
        <v>45871</v>
      </c>
      <c r="B64" t="s">
        <v>16</v>
      </c>
      <c r="C64" t="s">
        <v>47</v>
      </c>
      <c r="D64">
        <v>110</v>
      </c>
    </row>
    <row r="65" spans="1:4" x14ac:dyDescent="0.25">
      <c r="A65" s="1">
        <v>45873</v>
      </c>
      <c r="B65" t="s">
        <v>42</v>
      </c>
      <c r="C65" t="s">
        <v>47</v>
      </c>
      <c r="D65">
        <v>100</v>
      </c>
    </row>
    <row r="66" spans="1:4" x14ac:dyDescent="0.25">
      <c r="A66" s="1">
        <v>45873</v>
      </c>
      <c r="B66" t="s">
        <v>34</v>
      </c>
      <c r="C66" t="s">
        <v>48</v>
      </c>
      <c r="D66">
        <v>-16</v>
      </c>
    </row>
    <row r="67" spans="1:4" x14ac:dyDescent="0.25">
      <c r="A67" s="1">
        <v>45874</v>
      </c>
      <c r="B67" t="s">
        <v>6</v>
      </c>
      <c r="C67" t="s">
        <v>48</v>
      </c>
      <c r="D67">
        <v>-50</v>
      </c>
    </row>
    <row r="68" spans="1:4" x14ac:dyDescent="0.25">
      <c r="A68" s="1">
        <v>45881</v>
      </c>
      <c r="B68" t="s">
        <v>24</v>
      </c>
      <c r="C68" t="s">
        <v>48</v>
      </c>
      <c r="D68">
        <v>-17</v>
      </c>
    </row>
    <row r="69" spans="1:4" x14ac:dyDescent="0.25">
      <c r="A69" s="1">
        <v>45882</v>
      </c>
      <c r="B69" t="s">
        <v>34</v>
      </c>
      <c r="C69" t="s">
        <v>48</v>
      </c>
      <c r="D69">
        <v>-20</v>
      </c>
    </row>
    <row r="70" spans="1:4" x14ac:dyDescent="0.25">
      <c r="A70" s="1">
        <v>45888</v>
      </c>
      <c r="B70" t="s">
        <v>22</v>
      </c>
      <c r="C70" t="s">
        <v>48</v>
      </c>
      <c r="D70">
        <v>-10</v>
      </c>
    </row>
    <row r="71" spans="1:4" x14ac:dyDescent="0.25">
      <c r="A71" s="1">
        <v>45893</v>
      </c>
      <c r="B71" t="s">
        <v>40</v>
      </c>
      <c r="C71" t="s">
        <v>47</v>
      </c>
      <c r="D71">
        <v>100</v>
      </c>
    </row>
    <row r="72" spans="1:4" x14ac:dyDescent="0.25">
      <c r="A72" s="1">
        <v>45896</v>
      </c>
      <c r="B72" t="s">
        <v>28</v>
      </c>
      <c r="C72" t="s">
        <v>47</v>
      </c>
      <c r="D72">
        <v>105</v>
      </c>
    </row>
    <row r="73" spans="1:4" x14ac:dyDescent="0.25">
      <c r="A73" s="1">
        <v>45905</v>
      </c>
      <c r="B73" t="s">
        <v>6</v>
      </c>
      <c r="C73" t="s">
        <v>48</v>
      </c>
      <c r="D73">
        <v>-21</v>
      </c>
    </row>
    <row r="74" spans="1:4" x14ac:dyDescent="0.25">
      <c r="A74" s="1">
        <v>45906</v>
      </c>
      <c r="B74" t="s">
        <v>22</v>
      </c>
      <c r="C74" t="s">
        <v>48</v>
      </c>
      <c r="D74">
        <v>-13</v>
      </c>
    </row>
    <row r="75" spans="1:4" x14ac:dyDescent="0.25">
      <c r="A75" s="1">
        <v>45908</v>
      </c>
      <c r="B75" t="s">
        <v>34</v>
      </c>
      <c r="C75" t="s">
        <v>48</v>
      </c>
      <c r="D75">
        <v>-50</v>
      </c>
    </row>
    <row r="76" spans="1:4" x14ac:dyDescent="0.25">
      <c r="A76" s="1">
        <v>45911</v>
      </c>
      <c r="B76" t="s">
        <v>10</v>
      </c>
      <c r="C76" t="s">
        <v>48</v>
      </c>
      <c r="D76">
        <v>-22</v>
      </c>
    </row>
    <row r="77" spans="1:4" x14ac:dyDescent="0.25">
      <c r="A77" s="1">
        <v>45914</v>
      </c>
      <c r="B77" t="s">
        <v>6</v>
      </c>
      <c r="C77" t="s">
        <v>48</v>
      </c>
      <c r="D77">
        <v>-15</v>
      </c>
    </row>
    <row r="78" spans="1:4" x14ac:dyDescent="0.25">
      <c r="A78" s="1">
        <v>45941</v>
      </c>
      <c r="B78" t="s">
        <v>10</v>
      </c>
      <c r="C78" t="s">
        <v>48</v>
      </c>
      <c r="D78">
        <v>-15</v>
      </c>
    </row>
    <row r="79" spans="1:4" x14ac:dyDescent="0.25">
      <c r="A79" s="1">
        <v>45942</v>
      </c>
      <c r="B79" t="s">
        <v>24</v>
      </c>
      <c r="C79" t="s">
        <v>48</v>
      </c>
      <c r="D79">
        <v>-10</v>
      </c>
    </row>
    <row r="80" spans="1:4" x14ac:dyDescent="0.25">
      <c r="A80" s="1">
        <v>45945</v>
      </c>
      <c r="B80" t="s">
        <v>22</v>
      </c>
      <c r="C80" t="s">
        <v>48</v>
      </c>
      <c r="D80">
        <v>-11</v>
      </c>
    </row>
    <row r="81" spans="1:4" x14ac:dyDescent="0.25">
      <c r="A81" s="1">
        <v>45947</v>
      </c>
      <c r="B81" t="s">
        <v>34</v>
      </c>
      <c r="C81" t="s">
        <v>47</v>
      </c>
      <c r="D81">
        <v>105</v>
      </c>
    </row>
    <row r="82" spans="1:4" x14ac:dyDescent="0.25">
      <c r="A82" s="1">
        <v>45954</v>
      </c>
      <c r="B82" t="s">
        <v>6</v>
      </c>
      <c r="C82" t="s">
        <v>48</v>
      </c>
      <c r="D82">
        <v>-20</v>
      </c>
    </row>
    <row r="83" spans="1:4" x14ac:dyDescent="0.25">
      <c r="A83" s="1">
        <v>45958</v>
      </c>
      <c r="B83" t="s">
        <v>38</v>
      </c>
      <c r="C83" t="s">
        <v>48</v>
      </c>
      <c r="D83">
        <v>-50</v>
      </c>
    </row>
    <row r="84" spans="1:4" x14ac:dyDescent="0.25">
      <c r="A84" s="1">
        <v>45964</v>
      </c>
      <c r="B84" t="s">
        <v>14</v>
      </c>
      <c r="C84" t="s">
        <v>48</v>
      </c>
      <c r="D84">
        <v>-11</v>
      </c>
    </row>
    <row r="85" spans="1:4" x14ac:dyDescent="0.25">
      <c r="A85" s="1">
        <v>45967</v>
      </c>
      <c r="B85" t="s">
        <v>22</v>
      </c>
      <c r="C85" t="s">
        <v>48</v>
      </c>
      <c r="D85">
        <v>-27</v>
      </c>
    </row>
    <row r="86" spans="1:4" x14ac:dyDescent="0.25">
      <c r="A86" s="1">
        <v>45969</v>
      </c>
      <c r="B86" t="s">
        <v>22</v>
      </c>
      <c r="C86" t="s">
        <v>48</v>
      </c>
      <c r="D86">
        <v>-10</v>
      </c>
    </row>
    <row r="87" spans="1:4" x14ac:dyDescent="0.25">
      <c r="A87" s="1">
        <v>45971</v>
      </c>
      <c r="B87" t="s">
        <v>24</v>
      </c>
      <c r="C87" t="s">
        <v>48</v>
      </c>
      <c r="D87">
        <v>-16</v>
      </c>
    </row>
    <row r="88" spans="1:4" x14ac:dyDescent="0.25">
      <c r="A88" s="1">
        <v>45974</v>
      </c>
      <c r="B88" t="s">
        <v>12</v>
      </c>
      <c r="C88" t="s">
        <v>48</v>
      </c>
      <c r="D88">
        <v>-100</v>
      </c>
    </row>
    <row r="89" spans="1:4" x14ac:dyDescent="0.25">
      <c r="A89" s="1">
        <v>45977</v>
      </c>
      <c r="B89" t="s">
        <v>6</v>
      </c>
      <c r="C89" t="s">
        <v>48</v>
      </c>
      <c r="D89">
        <v>-25</v>
      </c>
    </row>
    <row r="90" spans="1:4" x14ac:dyDescent="0.25">
      <c r="A90" s="1">
        <v>45981</v>
      </c>
      <c r="B90" t="s">
        <v>38</v>
      </c>
      <c r="C90" t="s">
        <v>47</v>
      </c>
      <c r="D90">
        <v>115</v>
      </c>
    </row>
    <row r="91" spans="1:4" x14ac:dyDescent="0.25">
      <c r="A91" s="1">
        <v>45986</v>
      </c>
      <c r="B91" t="s">
        <v>24</v>
      </c>
      <c r="C91" t="s">
        <v>47</v>
      </c>
      <c r="D91">
        <v>100</v>
      </c>
    </row>
    <row r="92" spans="1:4" x14ac:dyDescent="0.25">
      <c r="A92" s="1">
        <v>45986</v>
      </c>
      <c r="B92" t="s">
        <v>12</v>
      </c>
      <c r="C92" t="s">
        <v>47</v>
      </c>
      <c r="D92">
        <v>110</v>
      </c>
    </row>
    <row r="93" spans="1:4" x14ac:dyDescent="0.25">
      <c r="A93" s="1">
        <v>45985</v>
      </c>
      <c r="B93" t="s">
        <v>16</v>
      </c>
      <c r="C93" t="s">
        <v>48</v>
      </c>
      <c r="D93">
        <v>-26</v>
      </c>
    </row>
    <row r="94" spans="1:4" x14ac:dyDescent="0.25">
      <c r="A94" s="1">
        <v>45985</v>
      </c>
      <c r="B94" t="s">
        <v>16</v>
      </c>
      <c r="C94" t="s">
        <v>48</v>
      </c>
      <c r="D94">
        <v>-22</v>
      </c>
    </row>
    <row r="95" spans="1:4" x14ac:dyDescent="0.25">
      <c r="A95" s="1">
        <v>45986</v>
      </c>
      <c r="B95" t="s">
        <v>42</v>
      </c>
      <c r="C95" t="s">
        <v>48</v>
      </c>
      <c r="D95">
        <v>-90</v>
      </c>
    </row>
    <row r="96" spans="1:4" x14ac:dyDescent="0.25">
      <c r="A96" s="1">
        <v>45988</v>
      </c>
      <c r="B96" t="s">
        <v>4</v>
      </c>
      <c r="C96" t="s">
        <v>48</v>
      </c>
      <c r="D96">
        <v>-98</v>
      </c>
    </row>
    <row r="97" spans="1:4" x14ac:dyDescent="0.25">
      <c r="A97" s="1">
        <v>45990</v>
      </c>
      <c r="B97" t="s">
        <v>6</v>
      </c>
      <c r="C97" t="s">
        <v>47</v>
      </c>
      <c r="D97">
        <v>115</v>
      </c>
    </row>
    <row r="98" spans="1:4" x14ac:dyDescent="0.25">
      <c r="A98" s="1">
        <v>45993</v>
      </c>
      <c r="B98" t="s">
        <v>14</v>
      </c>
      <c r="C98" t="s">
        <v>48</v>
      </c>
      <c r="D98">
        <v>-70</v>
      </c>
    </row>
    <row r="99" spans="1:4" x14ac:dyDescent="0.25">
      <c r="A99" s="1">
        <v>45993</v>
      </c>
      <c r="B99" t="s">
        <v>10</v>
      </c>
      <c r="C99" t="s">
        <v>48</v>
      </c>
      <c r="D99">
        <v>-30</v>
      </c>
    </row>
    <row r="100" spans="1:4" x14ac:dyDescent="0.25">
      <c r="A100" s="1">
        <v>45998</v>
      </c>
      <c r="B100" t="s">
        <v>6</v>
      </c>
      <c r="C100" t="s">
        <v>48</v>
      </c>
      <c r="D100">
        <v>-10</v>
      </c>
    </row>
    <row r="101" spans="1:4" x14ac:dyDescent="0.25">
      <c r="A101" s="1">
        <v>45998</v>
      </c>
      <c r="B101" t="s">
        <v>12</v>
      </c>
      <c r="C101" t="s">
        <v>48</v>
      </c>
      <c r="D101">
        <v>-27</v>
      </c>
    </row>
    <row r="102" spans="1:4" x14ac:dyDescent="0.25">
      <c r="A102" s="1">
        <v>46016</v>
      </c>
      <c r="B102" t="s">
        <v>16</v>
      </c>
      <c r="C102" t="s">
        <v>48</v>
      </c>
      <c r="D102">
        <v>-74</v>
      </c>
    </row>
    <row r="103" spans="1:4" x14ac:dyDescent="0.25">
      <c r="A103" s="1">
        <v>46016</v>
      </c>
      <c r="B103" t="s">
        <v>20</v>
      </c>
      <c r="C103" t="s">
        <v>48</v>
      </c>
      <c r="D103">
        <v>-110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3E3F796-B032-45B1-8DBB-7B2DE882BF52}">
  <ds:schemaRefs/>
</ds:datastoreItem>
</file>

<file path=customXml/itemProps2.xml><?xml version="1.0" encoding="utf-8"?>
<ds:datastoreItem xmlns:ds="http://schemas.openxmlformats.org/officeDocument/2006/customXml" ds:itemID="{348CAC40-17F8-410D-9AF5-7FA106BE9477}">
  <ds:schemaRefs/>
</ds:datastoreItem>
</file>

<file path=customXml/itemProps3.xml><?xml version="1.0" encoding="utf-8"?>
<ds:datastoreItem xmlns:ds="http://schemas.openxmlformats.org/officeDocument/2006/customXml" ds:itemID="{1F773A53-9FD1-42DF-84C8-B7E063793EC4}">
  <ds:schemaRefs/>
</ds:datastoreItem>
</file>

<file path=customXml/itemProps4.xml><?xml version="1.0" encoding="utf-8"?>
<ds:datastoreItem xmlns:ds="http://schemas.openxmlformats.org/officeDocument/2006/customXml" ds:itemID="{522F75FF-63B7-4A6B-88F4-E1E4CB5CEB3D}">
  <ds:schemaRefs/>
</ds:datastoreItem>
</file>

<file path=customXml/itemProps5.xml><?xml version="1.0" encoding="utf-8"?>
<ds:datastoreItem xmlns:ds="http://schemas.openxmlformats.org/officeDocument/2006/customXml" ds:itemID="{75142DF9-D32D-4CDE-853C-867912603AE5}">
  <ds:schemaRefs/>
</ds:datastoreItem>
</file>

<file path=customXml/itemProps6.xml><?xml version="1.0" encoding="utf-8"?>
<ds:datastoreItem xmlns:ds="http://schemas.openxmlformats.org/officeDocument/2006/customXml" ds:itemID="{584E6620-1699-41BA-B180-BE6B85210A11}">
  <ds:schemaRefs/>
</ds:datastoreItem>
</file>

<file path=customXml/itemProps7.xml><?xml version="1.0" encoding="utf-8"?>
<ds:datastoreItem xmlns:ds="http://schemas.openxmlformats.org/officeDocument/2006/customXml" ds:itemID="{F14612D5-095E-4F2B-BA1C-8EFC34A9C107}">
  <ds:schemaRefs/>
</ds:datastoreItem>
</file>

<file path=customXml/itemProps8.xml><?xml version="1.0" encoding="utf-8"?>
<ds:datastoreItem xmlns:ds="http://schemas.openxmlformats.org/officeDocument/2006/customXml" ds:itemID="{C23E8714-5A75-4080-85F0-AF186E9A80DA}">
  <ds:schemaRefs/>
</ds:datastoreItem>
</file>

<file path=customXml/itemProps9.xml><?xml version="1.0" encoding="utf-8"?>
<ds:datastoreItem xmlns:ds="http://schemas.openxmlformats.org/officeDocument/2006/customXml" ds:itemID="{F23F8561-F4D1-45CB-A788-1B6D955D14FF}">
  <ds:schemaRefs/>
</ds:datastoreItem>
</file>

<file path=customXml/itemProps10.xml><?xml version="1.0" encoding="utf-8"?>
<ds:datastoreItem xmlns:ds="http://schemas.openxmlformats.org/officeDocument/2006/customXml" ds:itemID="{6FD74DF3-3D76-40FF-89BB-8E70B300FF71}">
  <ds:schemaRefs/>
</ds:datastoreItem>
</file>

<file path=customXml/itemProps11.xml><?xml version="1.0" encoding="utf-8"?>
<ds:datastoreItem xmlns:ds="http://schemas.openxmlformats.org/officeDocument/2006/customXml" ds:itemID="{66242479-0C30-472F-B226-AABC683C9241}">
  <ds:schemaRefs/>
</ds:datastoreItem>
</file>

<file path=customXml/itemProps12.xml><?xml version="1.0" encoding="utf-8"?>
<ds:datastoreItem xmlns:ds="http://schemas.openxmlformats.org/officeDocument/2006/customXml" ds:itemID="{5B8F9A0C-5803-4F62-8FE0-35E3E64C8AFB}">
  <ds:schemaRefs/>
</ds:datastoreItem>
</file>

<file path=customXml/itemProps13.xml><?xml version="1.0" encoding="utf-8"?>
<ds:datastoreItem xmlns:ds="http://schemas.openxmlformats.org/officeDocument/2006/customXml" ds:itemID="{EE11B865-AB56-49CA-BB76-13E3CCEDCB5A}">
  <ds:schemaRefs/>
</ds:datastoreItem>
</file>

<file path=customXml/itemProps14.xml><?xml version="1.0" encoding="utf-8"?>
<ds:datastoreItem xmlns:ds="http://schemas.openxmlformats.org/officeDocument/2006/customXml" ds:itemID="{5AE4A08F-FCAF-46A7-8E8E-0CD47B2001FE}">
  <ds:schemaRefs/>
</ds:datastoreItem>
</file>

<file path=customXml/itemProps15.xml><?xml version="1.0" encoding="utf-8"?>
<ds:datastoreItem xmlns:ds="http://schemas.openxmlformats.org/officeDocument/2006/customXml" ds:itemID="{C62E6E5E-B5AD-42C2-B166-31D884D969A1}">
  <ds:schemaRefs/>
</ds:datastoreItem>
</file>

<file path=customXml/itemProps16.xml><?xml version="1.0" encoding="utf-8"?>
<ds:datastoreItem xmlns:ds="http://schemas.openxmlformats.org/officeDocument/2006/customXml" ds:itemID="{D5CBAB8E-4CAA-4150-A54D-DA572B7696A4}">
  <ds:schemaRefs/>
</ds:datastoreItem>
</file>

<file path=customXml/itemProps17.xml><?xml version="1.0" encoding="utf-8"?>
<ds:datastoreItem xmlns:ds="http://schemas.openxmlformats.org/officeDocument/2006/customXml" ds:itemID="{7CB75106-B483-4E6B-A7CE-DF36AB05E64F}">
  <ds:schemaRefs/>
</ds:datastoreItem>
</file>

<file path=customXml/itemProps18.xml><?xml version="1.0" encoding="utf-8"?>
<ds:datastoreItem xmlns:ds="http://schemas.openxmlformats.org/officeDocument/2006/customXml" ds:itemID="{A46F206A-F1CC-43FE-8BCB-F018242D79D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Products</vt:lpstr>
      <vt:lpstr>calcutaions</vt:lpstr>
      <vt:lpstr>Transactions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Bernard Obeng Boateng</dc:creator>
  <cp:keywords/>
  <dc:description/>
  <cp:lastModifiedBy>DELL</cp:lastModifiedBy>
  <cp:revision/>
  <dcterms:created xsi:type="dcterms:W3CDTF">2024-06-28T09:03:56Z</dcterms:created>
  <dcterms:modified xsi:type="dcterms:W3CDTF">2026-03-20T16:13:26Z</dcterms:modified>
  <cp:category/>
  <cp:contentStatus/>
</cp:coreProperties>
</file>